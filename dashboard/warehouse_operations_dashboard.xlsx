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rvitmittal/Desktop/warehouse_ops_project/05_excel_dashboard/"/>
    </mc:Choice>
  </mc:AlternateContent>
  <xr:revisionPtr revIDLastSave="0" documentId="13_ncr:1_{D58EE057-5368-0543-BFE3-26D6DAB3DE8D}" xr6:coauthVersionLast="47" xr6:coauthVersionMax="47" xr10:uidLastSave="{00000000-0000-0000-0000-000000000000}"/>
  <bookViews>
    <workbookView xWindow="0" yWindow="660" windowWidth="30240" windowHeight="18980" activeTab="6" xr2:uid="{B0965CCE-13FE-4441-ABB9-D7827E4EAA8E}"/>
  </bookViews>
  <sheets>
    <sheet name="Overview" sheetId="1" r:id="rId1"/>
    <sheet name="excel_forecast" sheetId="6" r:id="rId2"/>
    <sheet name="Demand Forecast" sheetId="2" r:id="rId3"/>
    <sheet name="excel_staffing" sheetId="8" r:id="rId4"/>
    <sheet name="Staffing Plan" sheetId="3" r:id="rId5"/>
    <sheet name="Throughput Analysis" sheetId="4" r:id="rId6"/>
    <sheet name="Risk &amp; Disruptions" sheetId="5" r:id="rId7"/>
  </sheets>
  <definedNames>
    <definedName name="ExternalData_1" localSheetId="1" hidden="1">excel_forecast!$A$1:$D$31</definedName>
    <definedName name="ExternalData_1" localSheetId="3" hidden="1">excel_staffing!$A$1:$O$31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4" i="3"/>
  <c r="E33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4" i="3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1E8E6C-0DA4-3440-92C2-02385C135A83}" keepAlive="1" name="Query - excel_forecast" description="Connection to the 'excel_forecast' query in the workbook." type="5" refreshedVersion="8" background="1" saveData="1">
    <dbPr connection="Provider=Microsoft.Mashup.OleDb.1;Data Source=$Workbook$;Location=excel_forecast;Extended Properties=&quot;&quot;" command="SELECT * FROM [excel_forecast]"/>
  </connection>
  <connection id="2" xr16:uid="{5F1401EA-CAE0-AB46-B074-E3F74DA2045D}" keepAlive="1" name="Query - excel_forecast (2)" description="Connection to the 'excel_forecast (2)' query in the workbook." type="5" refreshedVersion="8" background="1" saveData="1">
    <dbPr connection="Provider=Microsoft.Mashup.OleDb.1;Data Source=$Workbook$;Location=&quot;excel_forecast (2)&quot;;Extended Properties=&quot;&quot;" command="SELECT * FROM [excel_forecast (2)]"/>
  </connection>
  <connection id="3" xr16:uid="{6918FBC2-3595-A448-82F2-0C14D8EB8A40}" keepAlive="1" name="Query - excel_staffing" description="Connection to the 'excel_staffing' query in the workbook." type="5" refreshedVersion="8" background="1" saveData="1">
    <dbPr connection="Provider=Microsoft.Mashup.OleDb.1;Data Source=$Workbook$;Location=excel_staffing;Extended Properties=&quot;&quot;" command="SELECT * FROM [excel_staffing]"/>
  </connection>
</connections>
</file>

<file path=xl/sharedStrings.xml><?xml version="1.0" encoding="utf-8"?>
<sst xmlns="http://schemas.openxmlformats.org/spreadsheetml/2006/main" count="166" uniqueCount="143">
  <si>
    <t>Date</t>
  </si>
  <si>
    <t>Forecasted_Shipments</t>
  </si>
  <si>
    <t>Lower_Bound</t>
  </si>
  <si>
    <t>Upper_Bound</t>
  </si>
  <si>
    <t>Morning_Workers</t>
  </si>
  <si>
    <t>Morning_Pickers</t>
  </si>
  <si>
    <t>Morning_Loaders</t>
  </si>
  <si>
    <t>Morning_Forklift</t>
  </si>
  <si>
    <t>Afternoon_Workers</t>
  </si>
  <si>
    <t>Afternoon_Pickers</t>
  </si>
  <si>
    <t>Afternoon_Loaders</t>
  </si>
  <si>
    <t>Afternoon_Forklift</t>
  </si>
  <si>
    <t>Night_Workers</t>
  </si>
  <si>
    <t>Night_Pickers</t>
  </si>
  <si>
    <t>Night_Loaders</t>
  </si>
  <si>
    <t>Night_Forklift</t>
  </si>
  <si>
    <t>Total_Workers</t>
  </si>
  <si>
    <t>30-Day Demand Forecast</t>
  </si>
  <si>
    <t>Forecasted Shipments</t>
  </si>
  <si>
    <t>Lower Bound</t>
  </si>
  <si>
    <t>Upper Bound</t>
  </si>
  <si>
    <t>30-Day Staffing Recommendation Plan</t>
  </si>
  <si>
    <t>Morning Workers</t>
  </si>
  <si>
    <t>Afternoon Workers</t>
  </si>
  <si>
    <t>Night Workers</t>
  </si>
  <si>
    <t>Total Workers</t>
  </si>
  <si>
    <t>Throughput &amp; Statistical Analysis Summary</t>
  </si>
  <si>
    <t>TEST 2 — ANOVA: Throughput by Shift Type</t>
  </si>
  <si>
    <t>Shift Type</t>
  </si>
  <si>
    <t>Mean Units Scanned</t>
  </si>
  <si>
    <t>vs Morning Difference</t>
  </si>
  <si>
    <t>Significant?</t>
  </si>
  <si>
    <t>Morning</t>
  </si>
  <si>
    <t>-</t>
  </si>
  <si>
    <t>Baseline</t>
  </si>
  <si>
    <t>Afternoon</t>
  </si>
  <si>
    <t>YES (p=0.000)</t>
  </si>
  <si>
    <t>Night</t>
  </si>
  <si>
    <t>Grand Mean</t>
  </si>
  <si>
    <t>| D8:</t>
  </si>
  <si>
    <t>F-Statistic</t>
  </si>
  <si>
    <t>p-value</t>
  </si>
  <si>
    <t>&lt; 2.2e-16</t>
  </si>
  <si>
    <t>Eta-squared</t>
  </si>
  <si>
    <t>Interpretation</t>
  </si>
  <si>
    <t>Large effect — Morning outperforms Night by 378 units</t>
  </si>
  <si>
    <t>TEST 4 — Regression: Predicting Disruption Cost Impact</t>
  </si>
  <si>
    <t>Predictor</t>
  </si>
  <si>
    <t>Coefficient</t>
  </si>
  <si>
    <t>Duration Hours</t>
  </si>
  <si>
    <t>&lt; 2e-16</t>
  </si>
  <si>
    <t>YES (***)</t>
  </si>
  <si>
    <t>Staffing Gap</t>
  </si>
  <si>
    <t>NO</t>
  </si>
  <si>
    <t>Understaffed</t>
  </si>
  <si>
    <t>Marginal</t>
  </si>
  <si>
    <t>R-squared</t>
  </si>
  <si>
    <t>Adj R-squared</t>
  </si>
  <si>
    <t>Key Insight</t>
  </si>
  <si>
    <t>Every extra hour of disruption costs +$2,286</t>
  </si>
  <si>
    <t>ML-Powered Warehouse Operations Decision System</t>
  </si>
  <si>
    <t>Project by: Garvit Mittal</t>
  </si>
  <si>
    <t>Data Period: 2015–2018 | Project Completed: April 2026</t>
  </si>
  <si>
    <t>#</t>
  </si>
  <si>
    <t>KEY BUSINESS FINDINGS</t>
  </si>
  <si>
    <t>Finding</t>
  </si>
  <si>
    <t>Test</t>
  </si>
  <si>
    <t>Result</t>
  </si>
  <si>
    <t>Business Action</t>
  </si>
  <si>
    <t>Warehouse is chronically understaffed</t>
  </si>
  <si>
    <t>Paired t-test</t>
  </si>
  <si>
    <t>p &lt; 0.05</t>
  </si>
  <si>
    <t>Hire additional staff immediately</t>
  </si>
  <si>
    <t>Morning shift has highest throughput</t>
  </si>
  <si>
    <t>ANOVA</t>
  </si>
  <si>
    <t>F=89.93, η²=0.489</t>
  </si>
  <si>
    <t>Schedule critical tasks in morning</t>
  </si>
  <si>
    <t>Longer disruptions directly drive cost</t>
  </si>
  <si>
    <t>Duration explains 68% of disruption cost</t>
  </si>
  <si>
    <t>Demand stable at ~175 shipments/day</t>
  </si>
  <si>
    <t>Correlation</t>
  </si>
  <si>
    <t>r=0.82</t>
  </si>
  <si>
    <t>Minimize disruption duration</t>
  </si>
  <si>
    <t>Regression</t>
  </si>
  <si>
    <t>R²=0.68, F=89.93</t>
  </si>
  <si>
    <t>Focus on fast incident resolution</t>
  </si>
  <si>
    <t>Prophet Forecast</t>
  </si>
  <si>
    <t>30-day horizon</t>
  </si>
  <si>
    <t>Plan 24 workers daily</t>
  </si>
  <si>
    <t>ML MODELS DEPLOYED</t>
  </si>
  <si>
    <t>Model</t>
  </si>
  <si>
    <t>Algorithm</t>
  </si>
  <si>
    <t>Business Use</t>
  </si>
  <si>
    <t>Demand Forecast</t>
  </si>
  <si>
    <t>Risk Classifier</t>
  </si>
  <si>
    <t>Throughput Predictor</t>
  </si>
  <si>
    <t>Facebook Prophet</t>
  </si>
  <si>
    <t>XGBoost + Business Rules</t>
  </si>
  <si>
    <t>Gradient Boosting</t>
  </si>
  <si>
    <t>Performance</t>
  </si>
  <si>
    <t>Trend + seasonality captured</t>
  </si>
  <si>
    <t>Daily staffing plan</t>
  </si>
  <si>
    <t>Hybrid scoring 0–1</t>
  </si>
  <si>
    <t>Shipment risk alerts</t>
  </si>
  <si>
    <t>R²=0.874</t>
  </si>
  <si>
    <t>Shift-level optimization</t>
  </si>
  <si>
    <t>TOOLS USED</t>
  </si>
  <si>
    <t>MySQL</t>
  </si>
  <si>
    <t>Python + Google Colab</t>
  </si>
  <si>
    <t>R + RStudio</t>
  </si>
  <si>
    <t>Excel</t>
  </si>
  <si>
    <t>Database &amp; SQL queries</t>
  </si>
  <si>
    <t>ML models &amp; data processing</t>
  </si>
  <si>
    <t>Statistical validation &amp; hypothesis testing</t>
  </si>
  <si>
    <t>Executive dashboard &amp; reporting</t>
  </si>
  <si>
    <t>Dock Door Utilization &amp; Wait Time Analysis</t>
  </si>
  <si>
    <t>Dock Door</t>
  </si>
  <si>
    <t>Total Events</t>
  </si>
  <si>
    <t>Avg Wait Time (mins)</t>
  </si>
  <si>
    <t>Max Wait Time (mins)</t>
  </si>
  <si>
    <t>Busiest Day</t>
  </si>
  <si>
    <t>Status</t>
  </si>
  <si>
    <t>D01</t>
  </si>
  <si>
    <t>Tuesday</t>
  </si>
  <si>
    <t>Normal</t>
  </si>
  <si>
    <t>D02</t>
  </si>
  <si>
    <t>Monday</t>
  </si>
  <si>
    <t>Low Usage</t>
  </si>
  <si>
    <t>D03</t>
  </si>
  <si>
    <t>Thursday</t>
  </si>
  <si>
    <t>D04</t>
  </si>
  <si>
    <t>⚠️ High Load</t>
  </si>
  <si>
    <t>D05</t>
  </si>
  <si>
    <t>Saturday</t>
  </si>
  <si>
    <t>D06</t>
  </si>
  <si>
    <t>D07</t>
  </si>
  <si>
    <t>Sunday</t>
  </si>
  <si>
    <t>D08</t>
  </si>
  <si>
    <t>D09</t>
  </si>
  <si>
    <t>D10</t>
  </si>
  <si>
    <t>D11</t>
  </si>
  <si>
    <t>Friday</t>
  </si>
  <si>
    <t>D12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</si>
</sst>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6"/>
      <color rgb="FF00206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 tint="0.249977111117893"/>
      <name val="Times New Roman"/>
      <family val="1"/>
    </font>
    <font>
      <sz val="13"/>
      <color theme="0"/>
      <name val="Times New Roman"/>
      <family val="1"/>
    </font>
    <font>
      <b/>
      <sz val="12"/>
      <color theme="0"/>
      <name val="Times New Roman"/>
      <family val="1"/>
    </font>
    <font>
      <b/>
      <sz val="14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3" borderId="1" xfId="0" applyFont="1" applyFill="1" applyBorder="1"/>
    <xf numFmtId="0" fontId="6" fillId="3" borderId="2" xfId="0" applyFont="1" applyFill="1" applyBorder="1"/>
    <xf numFmtId="0" fontId="6" fillId="3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2" fillId="0" borderId="3" xfId="0" applyFont="1" applyBorder="1"/>
    <xf numFmtId="14" fontId="2" fillId="0" borderId="0" xfId="0" applyNumberFormat="1" applyFont="1"/>
    <xf numFmtId="0" fontId="2" fillId="0" borderId="2" xfId="0" applyFont="1" applyBorder="1"/>
    <xf numFmtId="0" fontId="7" fillId="0" borderId="0" xfId="0" applyFont="1"/>
    <xf numFmtId="0" fontId="2" fillId="0" borderId="0" xfId="0" applyFont="1" applyBorder="1"/>
    <xf numFmtId="14" fontId="2" fillId="0" borderId="4" xfId="0" applyNumberFormat="1" applyFont="1" applyBorder="1"/>
    <xf numFmtId="14" fontId="2" fillId="0" borderId="6" xfId="0" applyNumberFormat="1" applyFont="1" applyBorder="1"/>
  </cellXfs>
  <cellStyles count="1">
    <cellStyle name="Normal" xfId="0" builtinId="0"/>
  </cellStyles>
  <dxfs count="23"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9" formatCode="m/d/yy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9" formatCode="m/d/yy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30-Day Shipment Demand Forecast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'Demand Forecast'!$B$3</c:f>
              <c:strCache>
                <c:ptCount val="1"/>
                <c:pt idx="0">
                  <c:v>Forecasted Shipments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'Demand Forecast'!$A$4:$A$33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'Demand Forecast'!$B$4:$B$33</c:f>
              <c:numCache>
                <c:formatCode>General</c:formatCode>
                <c:ptCount val="30"/>
                <c:pt idx="0">
                  <c:v>166.38</c:v>
                </c:pt>
                <c:pt idx="1">
                  <c:v>167</c:v>
                </c:pt>
                <c:pt idx="2">
                  <c:v>167.61</c:v>
                </c:pt>
                <c:pt idx="3">
                  <c:v>168.51</c:v>
                </c:pt>
                <c:pt idx="4">
                  <c:v>167.93</c:v>
                </c:pt>
                <c:pt idx="5">
                  <c:v>167.85</c:v>
                </c:pt>
                <c:pt idx="6">
                  <c:v>167.33</c:v>
                </c:pt>
                <c:pt idx="7">
                  <c:v>165.23</c:v>
                </c:pt>
                <c:pt idx="8">
                  <c:v>166.52</c:v>
                </c:pt>
                <c:pt idx="9">
                  <c:v>167.82</c:v>
                </c:pt>
                <c:pt idx="10">
                  <c:v>169.43</c:v>
                </c:pt>
                <c:pt idx="11">
                  <c:v>169.56</c:v>
                </c:pt>
                <c:pt idx="12">
                  <c:v>170.16</c:v>
                </c:pt>
                <c:pt idx="13">
                  <c:v>170.29</c:v>
                </c:pt>
                <c:pt idx="14">
                  <c:v>168.77</c:v>
                </c:pt>
                <c:pt idx="15">
                  <c:v>170.58</c:v>
                </c:pt>
                <c:pt idx="16">
                  <c:v>172.31</c:v>
                </c:pt>
                <c:pt idx="17">
                  <c:v>174.25</c:v>
                </c:pt>
                <c:pt idx="18">
                  <c:v>174.59</c:v>
                </c:pt>
                <c:pt idx="19">
                  <c:v>175.29</c:v>
                </c:pt>
                <c:pt idx="20">
                  <c:v>175.39</c:v>
                </c:pt>
                <c:pt idx="21">
                  <c:v>173.72</c:v>
                </c:pt>
                <c:pt idx="22">
                  <c:v>175.25</c:v>
                </c:pt>
                <c:pt idx="23">
                  <c:v>176.58</c:v>
                </c:pt>
                <c:pt idx="24">
                  <c:v>178.01</c:v>
                </c:pt>
                <c:pt idx="25">
                  <c:v>177.74</c:v>
                </c:pt>
                <c:pt idx="26">
                  <c:v>177.74</c:v>
                </c:pt>
                <c:pt idx="27">
                  <c:v>177.06</c:v>
                </c:pt>
                <c:pt idx="28">
                  <c:v>174.56</c:v>
                </c:pt>
                <c:pt idx="29">
                  <c:v>175.22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1B-FC4F-B22F-0D3B3E78F4FB}"/>
            </c:ext>
          </c:extLst>
        </c:ser>
        <c:ser>
          <c:idx val="1"/>
          <c:order val="1"/>
          <c:tx>
            <c:strRef>
              <c:f>'Demand Forecast'!$C$3</c:f>
              <c:strCache>
                <c:ptCount val="1"/>
                <c:pt idx="0">
                  <c:v>Lower Bound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'Demand Forecast'!$A$4:$A$33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'Demand Forecast'!$C$4:$C$33</c:f>
              <c:numCache>
                <c:formatCode>General</c:formatCode>
                <c:ptCount val="30"/>
                <c:pt idx="0">
                  <c:v>138.43</c:v>
                </c:pt>
                <c:pt idx="1">
                  <c:v>137.91</c:v>
                </c:pt>
                <c:pt idx="2">
                  <c:v>142.25</c:v>
                </c:pt>
                <c:pt idx="3">
                  <c:v>139.44</c:v>
                </c:pt>
                <c:pt idx="4">
                  <c:v>140.63</c:v>
                </c:pt>
                <c:pt idx="5">
                  <c:v>140.19999999999999</c:v>
                </c:pt>
                <c:pt idx="6">
                  <c:v>139.69</c:v>
                </c:pt>
                <c:pt idx="7">
                  <c:v>137.28</c:v>
                </c:pt>
                <c:pt idx="8">
                  <c:v>139.38</c:v>
                </c:pt>
                <c:pt idx="9">
                  <c:v>140.43</c:v>
                </c:pt>
                <c:pt idx="10">
                  <c:v>143.13999999999999</c:v>
                </c:pt>
                <c:pt idx="11">
                  <c:v>140.19999999999999</c:v>
                </c:pt>
                <c:pt idx="12">
                  <c:v>140.63</c:v>
                </c:pt>
                <c:pt idx="13">
                  <c:v>143.22</c:v>
                </c:pt>
                <c:pt idx="14">
                  <c:v>143.21</c:v>
                </c:pt>
                <c:pt idx="15">
                  <c:v>143.22999999999999</c:v>
                </c:pt>
                <c:pt idx="16">
                  <c:v>144.28</c:v>
                </c:pt>
                <c:pt idx="17">
                  <c:v>144.81</c:v>
                </c:pt>
                <c:pt idx="18">
                  <c:v>148.24</c:v>
                </c:pt>
                <c:pt idx="19">
                  <c:v>148.54</c:v>
                </c:pt>
                <c:pt idx="20">
                  <c:v>147.30000000000001</c:v>
                </c:pt>
                <c:pt idx="21">
                  <c:v>148.09</c:v>
                </c:pt>
                <c:pt idx="22">
                  <c:v>146.25</c:v>
                </c:pt>
                <c:pt idx="23">
                  <c:v>147.62</c:v>
                </c:pt>
                <c:pt idx="24">
                  <c:v>148.62</c:v>
                </c:pt>
                <c:pt idx="25">
                  <c:v>151.1</c:v>
                </c:pt>
                <c:pt idx="26">
                  <c:v>149.71</c:v>
                </c:pt>
                <c:pt idx="27">
                  <c:v>148</c:v>
                </c:pt>
                <c:pt idx="28">
                  <c:v>148.31</c:v>
                </c:pt>
                <c:pt idx="29">
                  <c:v>148.33000000000001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B-FC4F-B22F-0D3B3E78F4FB}"/>
            </c:ext>
          </c:extLst>
        </c:ser>
        <c:ser>
          <c:idx val="2"/>
          <c:order val="2"/>
          <c:tx>
            <c:strRef>
              <c:f>'Demand Forecast'!$D$3</c:f>
              <c:strCache>
                <c:ptCount val="1"/>
                <c:pt idx="0">
                  <c:v>Upper Bound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'Demand Forecast'!$A$4:$A$33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'Demand Forecast'!$D$4:$D$33</c:f>
              <c:numCache>
                <c:formatCode>General</c:formatCode>
                <c:ptCount val="30"/>
                <c:pt idx="0">
                  <c:v>194.56</c:v>
                </c:pt>
                <c:pt idx="1">
                  <c:v>195.25</c:v>
                </c:pt>
                <c:pt idx="2">
                  <c:v>196.88</c:v>
                </c:pt>
                <c:pt idx="3">
                  <c:v>198.54</c:v>
                </c:pt>
                <c:pt idx="4">
                  <c:v>195.71</c:v>
                </c:pt>
                <c:pt idx="5">
                  <c:v>194.53</c:v>
                </c:pt>
                <c:pt idx="6">
                  <c:v>193.75</c:v>
                </c:pt>
                <c:pt idx="7">
                  <c:v>193.14</c:v>
                </c:pt>
                <c:pt idx="8">
                  <c:v>194.07</c:v>
                </c:pt>
                <c:pt idx="9">
                  <c:v>194.49</c:v>
                </c:pt>
                <c:pt idx="10">
                  <c:v>196.35</c:v>
                </c:pt>
                <c:pt idx="11">
                  <c:v>198.4</c:v>
                </c:pt>
                <c:pt idx="12">
                  <c:v>197.67</c:v>
                </c:pt>
                <c:pt idx="13">
                  <c:v>198.06</c:v>
                </c:pt>
                <c:pt idx="14">
                  <c:v>196.58</c:v>
                </c:pt>
                <c:pt idx="15">
                  <c:v>198.12</c:v>
                </c:pt>
                <c:pt idx="16">
                  <c:v>202.21</c:v>
                </c:pt>
                <c:pt idx="17">
                  <c:v>202.94</c:v>
                </c:pt>
                <c:pt idx="18">
                  <c:v>201.97</c:v>
                </c:pt>
                <c:pt idx="19">
                  <c:v>204.46</c:v>
                </c:pt>
                <c:pt idx="20">
                  <c:v>204.61</c:v>
                </c:pt>
                <c:pt idx="21">
                  <c:v>200.46</c:v>
                </c:pt>
                <c:pt idx="22">
                  <c:v>203.57</c:v>
                </c:pt>
                <c:pt idx="23">
                  <c:v>205.95</c:v>
                </c:pt>
                <c:pt idx="24">
                  <c:v>205.6</c:v>
                </c:pt>
                <c:pt idx="25">
                  <c:v>206.94</c:v>
                </c:pt>
                <c:pt idx="26">
                  <c:v>204.74</c:v>
                </c:pt>
                <c:pt idx="27">
                  <c:v>203.99</c:v>
                </c:pt>
                <c:pt idx="28">
                  <c:v>201.58</c:v>
                </c:pt>
                <c:pt idx="29">
                  <c:v>203.43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1B-FC4F-B22F-0D3B3E78F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0006912"/>
        <c:axId val="1872976000"/>
      </c:lineChart>
      <c:dateAx>
        <c:axId val="202000691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976000"/>
        <c:crosses val="autoZero"/>
        <c:auto val="1"/>
        <c:lblOffset val="100"/>
        <c:baseTimeUnit val="days"/>
      </c:dateAx>
      <c:valAx>
        <c:axId val="187297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0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Daily Staffing Requirements by Shift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'Staffing Plan'!$B$3</c:f>
              <c:strCache>
                <c:ptCount val="1"/>
                <c:pt idx="0">
                  <c:v>Forecasted Shipments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'Staffing Plan'!$A$4:$A$33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'Staffing Plan'!$B$4:$B$33</c:f>
              <c:numCache>
                <c:formatCode>General</c:formatCode>
                <c:ptCount val="30"/>
                <c:pt idx="0">
                  <c:v>166.38</c:v>
                </c:pt>
                <c:pt idx="1">
                  <c:v>167</c:v>
                </c:pt>
                <c:pt idx="2">
                  <c:v>167.61</c:v>
                </c:pt>
                <c:pt idx="3">
                  <c:v>168.51</c:v>
                </c:pt>
                <c:pt idx="4">
                  <c:v>167.93</c:v>
                </c:pt>
                <c:pt idx="5">
                  <c:v>167.85</c:v>
                </c:pt>
                <c:pt idx="6">
                  <c:v>167.33</c:v>
                </c:pt>
                <c:pt idx="7">
                  <c:v>165.23</c:v>
                </c:pt>
                <c:pt idx="8">
                  <c:v>166.52</c:v>
                </c:pt>
                <c:pt idx="9">
                  <c:v>167.82</c:v>
                </c:pt>
                <c:pt idx="10">
                  <c:v>169.43</c:v>
                </c:pt>
                <c:pt idx="11">
                  <c:v>169.56</c:v>
                </c:pt>
                <c:pt idx="12">
                  <c:v>170.16</c:v>
                </c:pt>
                <c:pt idx="13">
                  <c:v>170.29</c:v>
                </c:pt>
                <c:pt idx="14">
                  <c:v>168.77</c:v>
                </c:pt>
                <c:pt idx="15">
                  <c:v>170.58</c:v>
                </c:pt>
                <c:pt idx="16">
                  <c:v>172.31</c:v>
                </c:pt>
                <c:pt idx="17">
                  <c:v>174.25</c:v>
                </c:pt>
                <c:pt idx="18">
                  <c:v>174.59</c:v>
                </c:pt>
                <c:pt idx="19">
                  <c:v>175.29</c:v>
                </c:pt>
                <c:pt idx="20">
                  <c:v>175.39</c:v>
                </c:pt>
                <c:pt idx="21">
                  <c:v>173.72</c:v>
                </c:pt>
                <c:pt idx="22">
                  <c:v>175.25</c:v>
                </c:pt>
                <c:pt idx="23">
                  <c:v>176.58</c:v>
                </c:pt>
                <c:pt idx="24">
                  <c:v>178.01</c:v>
                </c:pt>
                <c:pt idx="25">
                  <c:v>177.74</c:v>
                </c:pt>
                <c:pt idx="26">
                  <c:v>177.74</c:v>
                </c:pt>
                <c:pt idx="27">
                  <c:v>177.06</c:v>
                </c:pt>
                <c:pt idx="28">
                  <c:v>174.56</c:v>
                </c:pt>
                <c:pt idx="29">
                  <c:v>175.22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4D-094C-9EEB-68632F408E84}"/>
            </c:ext>
          </c:extLst>
        </c:ser>
        <c:ser>
          <c:idx val="1"/>
          <c:order val="1"/>
          <c:tx>
            <c:strRef>
              <c:f>'Staffing Plan'!$C$3</c:f>
              <c:strCache>
                <c:ptCount val="1"/>
                <c:pt idx="0">
                  <c:v>Morning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'Staffing Plan'!$A$4:$A$33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'Staffing Plan'!$C$4:$C$33</c:f>
              <c:numCache>
                <c:formatCode>General</c:formatCode>
                <c:ptCount val="3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4D-094C-9EEB-68632F408E84}"/>
            </c:ext>
          </c:extLst>
        </c:ser>
        <c:ser>
          <c:idx val="2"/>
          <c:order val="2"/>
          <c:tx>
            <c:strRef>
              <c:f>'Staffing Plan'!$D$3</c:f>
              <c:strCache>
                <c:ptCount val="1"/>
                <c:pt idx="0">
                  <c:v>Afternoon Workers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'Staffing Plan'!$A$4:$A$33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'Staffing Plan'!$D$4:$D$33</c:f>
              <c:numCache>
                <c:formatCode>General</c:formatCode>
                <c:ptCount val="3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4D-094C-9EEB-68632F408E84}"/>
            </c:ext>
          </c:extLst>
        </c:ser>
        <c:ser>
          <c:idx val="3"/>
          <c:order val="3"/>
          <c:tx>
            <c:strRef>
              <c:f>'Staffing Plan'!$E$3</c:f>
              <c:strCache>
                <c:ptCount val="1"/>
                <c:pt idx="0">
                  <c:v>Night Workers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'Staffing Plan'!$A$4:$A$33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'Staffing Plan'!$E$4:$E$33</c:f>
              <c:numCache>
                <c:formatCode>General</c:formatCode>
                <c:ptCount val="3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4D-094C-9EEB-68632F408E84}"/>
            </c:ext>
          </c:extLst>
        </c:ser>
        <c:ser>
          <c:idx val="4"/>
          <c:order val="4"/>
          <c:tx>
            <c:strRef>
              <c:f>'Staffing Plan'!$F$3</c:f>
              <c:strCache>
                <c:ptCount val="1"/>
                <c:pt idx="0">
                  <c:v>Total Workers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'Staffing Plan'!$A$4:$A$33</c:f>
              <c:numCache>
                <c:formatCode>m/d/yy</c:formatCode>
                <c:ptCount val="30"/>
                <c:pt idx="0">
                  <c:v>42808</c:v>
                </c:pt>
                <c:pt idx="1">
                  <c:v>42809</c:v>
                </c:pt>
                <c:pt idx="2">
                  <c:v>42810</c:v>
                </c:pt>
                <c:pt idx="3">
                  <c:v>42811</c:v>
                </c:pt>
                <c:pt idx="4">
                  <c:v>42812</c:v>
                </c:pt>
                <c:pt idx="5">
                  <c:v>42813</c:v>
                </c:pt>
                <c:pt idx="6">
                  <c:v>42814</c:v>
                </c:pt>
                <c:pt idx="7">
                  <c:v>42815</c:v>
                </c:pt>
                <c:pt idx="8">
                  <c:v>42816</c:v>
                </c:pt>
                <c:pt idx="9">
                  <c:v>42817</c:v>
                </c:pt>
                <c:pt idx="10">
                  <c:v>42818</c:v>
                </c:pt>
                <c:pt idx="11">
                  <c:v>42819</c:v>
                </c:pt>
                <c:pt idx="12">
                  <c:v>42820</c:v>
                </c:pt>
                <c:pt idx="13">
                  <c:v>42821</c:v>
                </c:pt>
                <c:pt idx="14">
                  <c:v>42822</c:v>
                </c:pt>
                <c:pt idx="15">
                  <c:v>42823</c:v>
                </c:pt>
                <c:pt idx="16">
                  <c:v>42824</c:v>
                </c:pt>
                <c:pt idx="17">
                  <c:v>42825</c:v>
                </c:pt>
                <c:pt idx="18">
                  <c:v>42826</c:v>
                </c:pt>
                <c:pt idx="19">
                  <c:v>42827</c:v>
                </c:pt>
                <c:pt idx="20">
                  <c:v>42828</c:v>
                </c:pt>
                <c:pt idx="21">
                  <c:v>42829</c:v>
                </c:pt>
                <c:pt idx="22">
                  <c:v>42830</c:v>
                </c:pt>
                <c:pt idx="23">
                  <c:v>42831</c:v>
                </c:pt>
                <c:pt idx="24">
                  <c:v>42832</c:v>
                </c:pt>
                <c:pt idx="25">
                  <c:v>42833</c:v>
                </c:pt>
                <c:pt idx="26">
                  <c:v>42834</c:v>
                </c:pt>
                <c:pt idx="27">
                  <c:v>42835</c:v>
                </c:pt>
                <c:pt idx="28">
                  <c:v>42836</c:v>
                </c:pt>
                <c:pt idx="29">
                  <c:v>42837</c:v>
                </c:pt>
              </c:numCache>
            </c:numRef>
          </c:cat>
          <c:val>
            <c:numRef>
              <c:f>'Staffing Plan'!$F$4:$F$33</c:f>
              <c:numCache>
                <c:formatCode>General</c:formatCode>
                <c:ptCount val="3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24</c:v>
                </c:pt>
                <c:pt idx="17">
                  <c:v>24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4D-094C-9EEB-68632F408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02084160"/>
        <c:axId val="2002086848"/>
      </c:barChart>
      <c:dateAx>
        <c:axId val="2002084160"/>
        <c:scaling>
          <c:orientation val="minMax"/>
        </c:scaling>
        <c:delete val="0"/>
        <c:axPos val="l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086848"/>
        <c:crosses val="autoZero"/>
        <c:auto val="1"/>
        <c:lblOffset val="100"/>
        <c:baseTimeUnit val="days"/>
      </c:dateAx>
      <c:valAx>
        <c:axId val="200208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08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655026</xdr:colOff>
      <xdr:row>50</xdr:row>
      <xdr:rowOff>12700</xdr:rowOff>
    </xdr:from>
    <xdr:to>
      <xdr:col>16</xdr:col>
      <xdr:colOff>482599</xdr:colOff>
      <xdr:row>76</xdr:row>
      <xdr:rowOff>5373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373D3-23B8-B2B4-5A39-15E3E41D8A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95250</xdr:colOff>
      <xdr:row>15</xdr:row>
      <xdr:rowOff>139700</xdr:rowOff>
    </xdr:from>
    <xdr:to>
      <xdr:col>25</xdr:col>
      <xdr:colOff>177800</xdr:colOff>
      <xdr:row>44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5A4953-B3AF-CF50-4F6D-B65145229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480E94D-9916-504F-9B80-A08CA06AC8A4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Forecasted_Shipments" tableColumnId="2"/>
      <queryTableField id="3" name="Lower_Bound" tableColumnId="3"/>
      <queryTableField id="4" name="Upper_Boun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55E4EAB-0309-AA4D-9CCB-844B8C1F6A08}" autoFormatId="16" applyNumberFormats="0" applyBorderFormats="0" applyFontFormats="0" applyPatternFormats="0" applyAlignmentFormats="0" applyWidthHeightFormats="0">
  <queryTableRefresh nextId="16">
    <queryTableFields count="15">
      <queryTableField id="1" name="Date" tableColumnId="1"/>
      <queryTableField id="2" name="Forecasted_Shipments" tableColumnId="2"/>
      <queryTableField id="3" name="Morning_Workers" tableColumnId="3"/>
      <queryTableField id="4" name="Morning_Pickers" tableColumnId="4"/>
      <queryTableField id="5" name="Morning_Loaders" tableColumnId="5"/>
      <queryTableField id="6" name="Morning_Forklift" tableColumnId="6"/>
      <queryTableField id="7" name="Afternoon_Workers" tableColumnId="7"/>
      <queryTableField id="8" name="Afternoon_Pickers" tableColumnId="8"/>
      <queryTableField id="9" name="Afternoon_Loaders" tableColumnId="9"/>
      <queryTableField id="10" name="Afternoon_Forklift" tableColumnId="10"/>
      <queryTableField id="11" name="Night_Workers" tableColumnId="11"/>
      <queryTableField id="12" name="Night_Pickers" tableColumnId="12"/>
      <queryTableField id="13" name="Night_Loaders" tableColumnId="13"/>
      <queryTableField id="14" name="Night_Forklift" tableColumnId="14"/>
      <queryTableField id="15" name="Total_Workers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20794A-8ED6-864B-A253-50068DD20191}" name="excel_forecast" displayName="excel_forecast" ref="A1:D31" tableType="queryTable" totalsRowShown="0" headerRowDxfId="22" dataDxfId="21">
  <autoFilter ref="A1:D31" xr:uid="{E320794A-8ED6-864B-A253-50068DD20191}"/>
  <tableColumns count="4">
    <tableColumn id="1" xr3:uid="{CD8AF607-9621-544F-B234-92628E29BF4B}" uniqueName="1" name="Date" queryTableFieldId="1" dataDxfId="20"/>
    <tableColumn id="2" xr3:uid="{2C18E9DF-25F4-6C48-A2AF-2FDE46D6E240}" uniqueName="2" name="Forecasted_Shipments" queryTableFieldId="2" dataDxfId="19"/>
    <tableColumn id="3" xr3:uid="{FBEC911A-9B26-8F44-AC21-B20F1545CF2C}" uniqueName="3" name="Lower_Bound" queryTableFieldId="3" dataDxfId="18"/>
    <tableColumn id="4" xr3:uid="{77E1D46A-FA5B-B44D-A51B-600529FC79D3}" uniqueName="4" name="Upper_Bound" queryTableFieldId="4" dataDxf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CA26797-105D-1C42-8004-9B002D00CD47}" name="excel_staffing" displayName="excel_staffing" ref="A1:O31" tableType="queryTable" totalsRowShown="0" headerRowDxfId="16" dataDxfId="15">
  <autoFilter ref="A1:O31" xr:uid="{7CA26797-105D-1C42-8004-9B002D00CD47}"/>
  <tableColumns count="15">
    <tableColumn id="1" xr3:uid="{0C01D618-F8E7-2B4C-BFD5-6FFC130E451A}" uniqueName="1" name="Date" queryTableFieldId="1" dataDxfId="14"/>
    <tableColumn id="2" xr3:uid="{557F301C-FBD9-4A4E-91D7-428C6BC84F61}" uniqueName="2" name="Forecasted_Shipments" queryTableFieldId="2" dataDxfId="13"/>
    <tableColumn id="3" xr3:uid="{2AD08541-DD00-D242-9866-1436A4374668}" uniqueName="3" name="Morning_Workers" queryTableFieldId="3" dataDxfId="12"/>
    <tableColumn id="4" xr3:uid="{97E814D4-84FD-3C4D-999A-DD147E6B66D0}" uniqueName="4" name="Morning_Pickers" queryTableFieldId="4" dataDxfId="11"/>
    <tableColumn id="5" xr3:uid="{80F2CC6C-71AD-744D-9602-4CE5335CAAC6}" uniqueName="5" name="Morning_Loaders" queryTableFieldId="5" dataDxfId="10"/>
    <tableColumn id="6" xr3:uid="{2E4A78A5-B033-BB4D-A517-911450DD8896}" uniqueName="6" name="Morning_Forklift" queryTableFieldId="6" dataDxfId="9"/>
    <tableColumn id="7" xr3:uid="{79375935-ECEE-5C4E-A967-9FAC3A267E56}" uniqueName="7" name="Afternoon_Workers" queryTableFieldId="7" dataDxfId="8"/>
    <tableColumn id="8" xr3:uid="{43F92CE3-BB85-F74B-9081-80267862B473}" uniqueName="8" name="Afternoon_Pickers" queryTableFieldId="8" dataDxfId="7"/>
    <tableColumn id="9" xr3:uid="{ECCB3EC4-74F0-2642-AEF6-E8E206644BBC}" uniqueName="9" name="Afternoon_Loaders" queryTableFieldId="9" dataDxfId="6"/>
    <tableColumn id="10" xr3:uid="{A008B36C-BF27-8D4C-8414-37A3C421CBB7}" uniqueName="10" name="Afternoon_Forklift" queryTableFieldId="10" dataDxfId="5"/>
    <tableColumn id="11" xr3:uid="{1AD36874-005A-2742-9AC9-DEAAD1F4ED24}" uniqueName="11" name="Night_Workers" queryTableFieldId="11" dataDxfId="4"/>
    <tableColumn id="12" xr3:uid="{F74BAC35-9EF9-B24F-B276-87E33714CC11}" uniqueName="12" name="Night_Pickers" queryTableFieldId="12" dataDxfId="3"/>
    <tableColumn id="13" xr3:uid="{CAB6580A-5A4B-D745-BA6A-70CA951EB901}" uniqueName="13" name="Night_Loaders" queryTableFieldId="13" dataDxfId="2"/>
    <tableColumn id="14" xr3:uid="{73F2A0FD-0BE6-4D45-A178-0268B6B20D7A}" uniqueName="14" name="Night_Forklift" queryTableFieldId="14" dataDxfId="1"/>
    <tableColumn id="15" xr3:uid="{3EC93ADD-AB66-004F-9B4B-8A52FA21C718}" uniqueName="15" name="Total_Workers" queryTableFieldId="1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8F85-21D6-934A-B1A4-5BDDCAAA7C2B}">
  <dimension ref="A1:E24"/>
  <sheetViews>
    <sheetView workbookViewId="0">
      <selection activeCell="C38" sqref="C38"/>
    </sheetView>
  </sheetViews>
  <sheetFormatPr baseColWidth="10" defaultRowHeight="16" x14ac:dyDescent="0.2"/>
  <cols>
    <col min="1" max="1" width="61.5" style="2" customWidth="1"/>
    <col min="2" max="2" width="34.83203125" style="2" bestFit="1" customWidth="1"/>
    <col min="3" max="3" width="24.5" style="2" bestFit="1" customWidth="1"/>
    <col min="4" max="4" width="20" style="2" bestFit="1" customWidth="1"/>
    <col min="5" max="5" width="27.83203125" style="2" bestFit="1" customWidth="1"/>
    <col min="6" max="16384" width="10.83203125" style="2"/>
  </cols>
  <sheetData>
    <row r="1" spans="1:5" ht="20" x14ac:dyDescent="0.2">
      <c r="A1" s="1" t="s">
        <v>60</v>
      </c>
    </row>
    <row r="2" spans="1:5" x14ac:dyDescent="0.2">
      <c r="A2" s="3" t="s">
        <v>61</v>
      </c>
    </row>
    <row r="3" spans="1:5" x14ac:dyDescent="0.2">
      <c r="A3" s="4" t="s">
        <v>62</v>
      </c>
    </row>
    <row r="5" spans="1:5" ht="18" thickBot="1" x14ac:dyDescent="0.25">
      <c r="A5" s="5" t="s">
        <v>64</v>
      </c>
    </row>
    <row r="6" spans="1:5" ht="17" thickTop="1" x14ac:dyDescent="0.2">
      <c r="A6" s="6" t="s">
        <v>63</v>
      </c>
      <c r="B6" s="7" t="s">
        <v>65</v>
      </c>
      <c r="C6" s="7" t="s">
        <v>66</v>
      </c>
      <c r="D6" s="7" t="s">
        <v>67</v>
      </c>
      <c r="E6" s="8" t="s">
        <v>68</v>
      </c>
    </row>
    <row r="7" spans="1:5" x14ac:dyDescent="0.2">
      <c r="A7" s="9">
        <v>1</v>
      </c>
      <c r="B7" s="2" t="s">
        <v>69</v>
      </c>
      <c r="C7" s="2" t="s">
        <v>70</v>
      </c>
      <c r="D7" s="2" t="s">
        <v>71</v>
      </c>
      <c r="E7" s="10" t="s">
        <v>72</v>
      </c>
    </row>
    <row r="8" spans="1:5" x14ac:dyDescent="0.2">
      <c r="A8" s="9">
        <v>2</v>
      </c>
      <c r="B8" s="2" t="s">
        <v>73</v>
      </c>
      <c r="C8" s="2" t="s">
        <v>74</v>
      </c>
      <c r="D8" s="2" t="s">
        <v>75</v>
      </c>
      <c r="E8" s="10" t="s">
        <v>76</v>
      </c>
    </row>
    <row r="9" spans="1:5" x14ac:dyDescent="0.2">
      <c r="A9" s="9">
        <v>3</v>
      </c>
      <c r="B9" s="2" t="s">
        <v>77</v>
      </c>
      <c r="C9" s="2" t="s">
        <v>80</v>
      </c>
      <c r="D9" s="2" t="s">
        <v>81</v>
      </c>
      <c r="E9" s="10" t="s">
        <v>82</v>
      </c>
    </row>
    <row r="10" spans="1:5" x14ac:dyDescent="0.2">
      <c r="A10" s="9">
        <v>4</v>
      </c>
      <c r="B10" s="2" t="s">
        <v>78</v>
      </c>
      <c r="C10" s="2" t="s">
        <v>83</v>
      </c>
      <c r="D10" s="2" t="s">
        <v>84</v>
      </c>
      <c r="E10" s="10" t="s">
        <v>85</v>
      </c>
    </row>
    <row r="11" spans="1:5" ht="17" thickBot="1" x14ac:dyDescent="0.25">
      <c r="A11" s="11">
        <v>5</v>
      </c>
      <c r="B11" s="12" t="s">
        <v>79</v>
      </c>
      <c r="C11" s="12" t="s">
        <v>86</v>
      </c>
      <c r="D11" s="12" t="s">
        <v>87</v>
      </c>
      <c r="E11" s="13" t="s">
        <v>88</v>
      </c>
    </row>
    <row r="12" spans="1:5" ht="17" thickTop="1" x14ac:dyDescent="0.2"/>
    <row r="13" spans="1:5" ht="18" thickBot="1" x14ac:dyDescent="0.25">
      <c r="A13" s="5" t="s">
        <v>89</v>
      </c>
    </row>
    <row r="14" spans="1:5" ht="17" thickTop="1" x14ac:dyDescent="0.2">
      <c r="A14" s="6" t="s">
        <v>90</v>
      </c>
      <c r="B14" s="7" t="s">
        <v>91</v>
      </c>
      <c r="C14" s="7" t="s">
        <v>99</v>
      </c>
      <c r="D14" s="8" t="s">
        <v>92</v>
      </c>
    </row>
    <row r="15" spans="1:5" x14ac:dyDescent="0.2">
      <c r="A15" s="9" t="s">
        <v>93</v>
      </c>
      <c r="B15" s="2" t="s">
        <v>96</v>
      </c>
      <c r="C15" s="2" t="s">
        <v>100</v>
      </c>
      <c r="D15" s="10" t="s">
        <v>101</v>
      </c>
    </row>
    <row r="16" spans="1:5" x14ac:dyDescent="0.2">
      <c r="A16" s="9" t="s">
        <v>94</v>
      </c>
      <c r="B16" s="2" t="s">
        <v>97</v>
      </c>
      <c r="C16" s="2" t="s">
        <v>102</v>
      </c>
      <c r="D16" s="10" t="s">
        <v>103</v>
      </c>
    </row>
    <row r="17" spans="1:4" ht="17" thickBot="1" x14ac:dyDescent="0.25">
      <c r="A17" s="11" t="s">
        <v>95</v>
      </c>
      <c r="B17" s="12" t="s">
        <v>98</v>
      </c>
      <c r="C17" s="12" t="s">
        <v>104</v>
      </c>
      <c r="D17" s="13" t="s">
        <v>105</v>
      </c>
    </row>
    <row r="18" spans="1:4" ht="17" thickTop="1" x14ac:dyDescent="0.2"/>
    <row r="19" spans="1:4" ht="18" thickBot="1" x14ac:dyDescent="0.25">
      <c r="A19" s="5" t="s">
        <v>106</v>
      </c>
    </row>
    <row r="20" spans="1:4" ht="17" thickTop="1" x14ac:dyDescent="0.2">
      <c r="A20" s="14" t="s">
        <v>107</v>
      </c>
      <c r="B20" s="15" t="s">
        <v>111</v>
      </c>
    </row>
    <row r="21" spans="1:4" x14ac:dyDescent="0.2">
      <c r="A21" s="9" t="s">
        <v>108</v>
      </c>
      <c r="B21" s="10" t="s">
        <v>112</v>
      </c>
    </row>
    <row r="22" spans="1:4" x14ac:dyDescent="0.2">
      <c r="A22" s="9" t="s">
        <v>109</v>
      </c>
      <c r="B22" s="10" t="s">
        <v>113</v>
      </c>
    </row>
    <row r="23" spans="1:4" ht="17" thickBot="1" x14ac:dyDescent="0.25">
      <c r="A23" s="11" t="s">
        <v>110</v>
      </c>
      <c r="B23" s="13" t="s">
        <v>114</v>
      </c>
    </row>
    <row r="24" spans="1:4" ht="17" thickTop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7F986-087A-F04B-AA97-FE5701C45ECA}">
  <dimension ref="A1:D31"/>
  <sheetViews>
    <sheetView workbookViewId="0">
      <selection activeCell="F38" sqref="F38"/>
    </sheetView>
  </sheetViews>
  <sheetFormatPr baseColWidth="10" defaultRowHeight="16" x14ac:dyDescent="0.2"/>
  <cols>
    <col min="1" max="1" width="7.6640625" bestFit="1" customWidth="1"/>
    <col min="2" max="2" width="22.83203125" bestFit="1" customWidth="1"/>
    <col min="3" max="3" width="14.6640625" bestFit="1" customWidth="1"/>
    <col min="4" max="4" width="14.5" bestFit="1" customWidth="1"/>
  </cols>
  <sheetData>
    <row r="1" spans="1:4" x14ac:dyDescent="0.2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">
      <c r="A2" s="16">
        <v>42808</v>
      </c>
      <c r="B2" s="2">
        <v>166.38</v>
      </c>
      <c r="C2" s="2">
        <v>138.43</v>
      </c>
      <c r="D2" s="2">
        <v>194.56</v>
      </c>
    </row>
    <row r="3" spans="1:4" x14ac:dyDescent="0.2">
      <c r="A3" s="16">
        <v>42809</v>
      </c>
      <c r="B3" s="2">
        <v>167</v>
      </c>
      <c r="C3" s="2">
        <v>137.91</v>
      </c>
      <c r="D3" s="2">
        <v>195.25</v>
      </c>
    </row>
    <row r="4" spans="1:4" x14ac:dyDescent="0.2">
      <c r="A4" s="16">
        <v>42810</v>
      </c>
      <c r="B4" s="2">
        <v>167.61</v>
      </c>
      <c r="C4" s="2">
        <v>142.25</v>
      </c>
      <c r="D4" s="2">
        <v>196.88</v>
      </c>
    </row>
    <row r="5" spans="1:4" x14ac:dyDescent="0.2">
      <c r="A5" s="16">
        <v>42811</v>
      </c>
      <c r="B5" s="2">
        <v>168.51</v>
      </c>
      <c r="C5" s="2">
        <v>139.44</v>
      </c>
      <c r="D5" s="2">
        <v>198.54</v>
      </c>
    </row>
    <row r="6" spans="1:4" x14ac:dyDescent="0.2">
      <c r="A6" s="16">
        <v>42812</v>
      </c>
      <c r="B6" s="2">
        <v>167.93</v>
      </c>
      <c r="C6" s="2">
        <v>140.63</v>
      </c>
      <c r="D6" s="2">
        <v>195.71</v>
      </c>
    </row>
    <row r="7" spans="1:4" x14ac:dyDescent="0.2">
      <c r="A7" s="16">
        <v>42813</v>
      </c>
      <c r="B7" s="2">
        <v>167.85</v>
      </c>
      <c r="C7" s="2">
        <v>140.19999999999999</v>
      </c>
      <c r="D7" s="2">
        <v>194.53</v>
      </c>
    </row>
    <row r="8" spans="1:4" x14ac:dyDescent="0.2">
      <c r="A8" s="16">
        <v>42814</v>
      </c>
      <c r="B8" s="2">
        <v>167.33</v>
      </c>
      <c r="C8" s="2">
        <v>139.69</v>
      </c>
      <c r="D8" s="2">
        <v>193.75</v>
      </c>
    </row>
    <row r="9" spans="1:4" x14ac:dyDescent="0.2">
      <c r="A9" s="16">
        <v>42815</v>
      </c>
      <c r="B9" s="2">
        <v>165.23</v>
      </c>
      <c r="C9" s="2">
        <v>137.28</v>
      </c>
      <c r="D9" s="2">
        <v>193.14</v>
      </c>
    </row>
    <row r="10" spans="1:4" x14ac:dyDescent="0.2">
      <c r="A10" s="16">
        <v>42816</v>
      </c>
      <c r="B10" s="2">
        <v>166.52</v>
      </c>
      <c r="C10" s="2">
        <v>139.38</v>
      </c>
      <c r="D10" s="2">
        <v>194.07</v>
      </c>
    </row>
    <row r="11" spans="1:4" x14ac:dyDescent="0.2">
      <c r="A11" s="16">
        <v>42817</v>
      </c>
      <c r="B11" s="2">
        <v>167.82</v>
      </c>
      <c r="C11" s="2">
        <v>140.43</v>
      </c>
      <c r="D11" s="2">
        <v>194.49</v>
      </c>
    </row>
    <row r="12" spans="1:4" x14ac:dyDescent="0.2">
      <c r="A12" s="16">
        <v>42818</v>
      </c>
      <c r="B12" s="2">
        <v>169.43</v>
      </c>
      <c r="C12" s="2">
        <v>143.13999999999999</v>
      </c>
      <c r="D12" s="2">
        <v>196.35</v>
      </c>
    </row>
    <row r="13" spans="1:4" x14ac:dyDescent="0.2">
      <c r="A13" s="16">
        <v>42819</v>
      </c>
      <c r="B13" s="2">
        <v>169.56</v>
      </c>
      <c r="C13" s="2">
        <v>140.19999999999999</v>
      </c>
      <c r="D13" s="2">
        <v>198.4</v>
      </c>
    </row>
    <row r="14" spans="1:4" x14ac:dyDescent="0.2">
      <c r="A14" s="16">
        <v>42820</v>
      </c>
      <c r="B14" s="2">
        <v>170.16</v>
      </c>
      <c r="C14" s="2">
        <v>140.63</v>
      </c>
      <c r="D14" s="2">
        <v>197.67</v>
      </c>
    </row>
    <row r="15" spans="1:4" x14ac:dyDescent="0.2">
      <c r="A15" s="16">
        <v>42821</v>
      </c>
      <c r="B15" s="2">
        <v>170.29</v>
      </c>
      <c r="C15" s="2">
        <v>143.22</v>
      </c>
      <c r="D15" s="2">
        <v>198.06</v>
      </c>
    </row>
    <row r="16" spans="1:4" x14ac:dyDescent="0.2">
      <c r="A16" s="16">
        <v>42822</v>
      </c>
      <c r="B16" s="2">
        <v>168.77</v>
      </c>
      <c r="C16" s="2">
        <v>143.21</v>
      </c>
      <c r="D16" s="2">
        <v>196.58</v>
      </c>
    </row>
    <row r="17" spans="1:4" x14ac:dyDescent="0.2">
      <c r="A17" s="16">
        <v>42823</v>
      </c>
      <c r="B17" s="2">
        <v>170.58</v>
      </c>
      <c r="C17" s="2">
        <v>143.22999999999999</v>
      </c>
      <c r="D17" s="2">
        <v>198.12</v>
      </c>
    </row>
    <row r="18" spans="1:4" x14ac:dyDescent="0.2">
      <c r="A18" s="16">
        <v>42824</v>
      </c>
      <c r="B18" s="2">
        <v>172.31</v>
      </c>
      <c r="C18" s="2">
        <v>144.28</v>
      </c>
      <c r="D18" s="2">
        <v>202.21</v>
      </c>
    </row>
    <row r="19" spans="1:4" x14ac:dyDescent="0.2">
      <c r="A19" s="16">
        <v>42825</v>
      </c>
      <c r="B19" s="2">
        <v>174.25</v>
      </c>
      <c r="C19" s="2">
        <v>144.81</v>
      </c>
      <c r="D19" s="2">
        <v>202.94</v>
      </c>
    </row>
    <row r="20" spans="1:4" x14ac:dyDescent="0.2">
      <c r="A20" s="16">
        <v>42826</v>
      </c>
      <c r="B20" s="2">
        <v>174.59</v>
      </c>
      <c r="C20" s="2">
        <v>148.24</v>
      </c>
      <c r="D20" s="2">
        <v>201.97</v>
      </c>
    </row>
    <row r="21" spans="1:4" x14ac:dyDescent="0.2">
      <c r="A21" s="16">
        <v>42827</v>
      </c>
      <c r="B21" s="2">
        <v>175.29</v>
      </c>
      <c r="C21" s="2">
        <v>148.54</v>
      </c>
      <c r="D21" s="2">
        <v>204.46</v>
      </c>
    </row>
    <row r="22" spans="1:4" x14ac:dyDescent="0.2">
      <c r="A22" s="16">
        <v>42828</v>
      </c>
      <c r="B22" s="2">
        <v>175.39</v>
      </c>
      <c r="C22" s="2">
        <v>147.30000000000001</v>
      </c>
      <c r="D22" s="2">
        <v>204.61</v>
      </c>
    </row>
    <row r="23" spans="1:4" x14ac:dyDescent="0.2">
      <c r="A23" s="16">
        <v>42829</v>
      </c>
      <c r="B23" s="2">
        <v>173.72</v>
      </c>
      <c r="C23" s="2">
        <v>148.09</v>
      </c>
      <c r="D23" s="2">
        <v>200.46</v>
      </c>
    </row>
    <row r="24" spans="1:4" x14ac:dyDescent="0.2">
      <c r="A24" s="16">
        <v>42830</v>
      </c>
      <c r="B24" s="2">
        <v>175.25</v>
      </c>
      <c r="C24" s="2">
        <v>146.25</v>
      </c>
      <c r="D24" s="2">
        <v>203.57</v>
      </c>
    </row>
    <row r="25" spans="1:4" x14ac:dyDescent="0.2">
      <c r="A25" s="16">
        <v>42831</v>
      </c>
      <c r="B25" s="2">
        <v>176.58</v>
      </c>
      <c r="C25" s="2">
        <v>147.62</v>
      </c>
      <c r="D25" s="2">
        <v>205.95</v>
      </c>
    </row>
    <row r="26" spans="1:4" x14ac:dyDescent="0.2">
      <c r="A26" s="16">
        <v>42832</v>
      </c>
      <c r="B26" s="2">
        <v>178.01</v>
      </c>
      <c r="C26" s="2">
        <v>148.62</v>
      </c>
      <c r="D26" s="2">
        <v>205.6</v>
      </c>
    </row>
    <row r="27" spans="1:4" x14ac:dyDescent="0.2">
      <c r="A27" s="16">
        <v>42833</v>
      </c>
      <c r="B27" s="2">
        <v>177.74</v>
      </c>
      <c r="C27" s="2">
        <v>151.1</v>
      </c>
      <c r="D27" s="2">
        <v>206.94</v>
      </c>
    </row>
    <row r="28" spans="1:4" x14ac:dyDescent="0.2">
      <c r="A28" s="16">
        <v>42834</v>
      </c>
      <c r="B28" s="2">
        <v>177.74</v>
      </c>
      <c r="C28" s="2">
        <v>149.71</v>
      </c>
      <c r="D28" s="2">
        <v>204.74</v>
      </c>
    </row>
    <row r="29" spans="1:4" x14ac:dyDescent="0.2">
      <c r="A29" s="16">
        <v>42835</v>
      </c>
      <c r="B29" s="2">
        <v>177.06</v>
      </c>
      <c r="C29" s="2">
        <v>148</v>
      </c>
      <c r="D29" s="2">
        <v>203.99</v>
      </c>
    </row>
    <row r="30" spans="1:4" x14ac:dyDescent="0.2">
      <c r="A30" s="16">
        <v>42836</v>
      </c>
      <c r="B30" s="2">
        <v>174.56</v>
      </c>
      <c r="C30" s="2">
        <v>148.31</v>
      </c>
      <c r="D30" s="2">
        <v>201.58</v>
      </c>
    </row>
    <row r="31" spans="1:4" x14ac:dyDescent="0.2">
      <c r="A31" s="16">
        <v>42837</v>
      </c>
      <c r="B31" s="2">
        <v>175.22</v>
      </c>
      <c r="C31" s="2">
        <v>148.33000000000001</v>
      </c>
      <c r="D31" s="2">
        <v>203.43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1D34-BDE2-664A-9235-D1FABDF551EA}">
  <dimension ref="A1:D34"/>
  <sheetViews>
    <sheetView topLeftCell="A42" zoomScaleNormal="130" workbookViewId="0">
      <selection activeCell="L42" sqref="L42"/>
    </sheetView>
  </sheetViews>
  <sheetFormatPr baseColWidth="10" defaultRowHeight="16" x14ac:dyDescent="0.2"/>
  <cols>
    <col min="1" max="1" width="22" style="2" bestFit="1" customWidth="1"/>
    <col min="2" max="2" width="19.1640625" style="2" customWidth="1"/>
    <col min="3" max="3" width="11.5" style="2" bestFit="1" customWidth="1"/>
    <col min="4" max="4" width="12" style="2" bestFit="1" customWidth="1"/>
    <col min="5" max="16384" width="10.83203125" style="2"/>
  </cols>
  <sheetData>
    <row r="1" spans="1:4" ht="17" thickTop="1" x14ac:dyDescent="0.2">
      <c r="A1" s="14" t="s">
        <v>17</v>
      </c>
      <c r="B1" s="17"/>
      <c r="C1" s="17"/>
      <c r="D1" s="15"/>
    </row>
    <row r="2" spans="1:4" x14ac:dyDescent="0.2">
      <c r="A2" s="9"/>
      <c r="B2" s="19"/>
      <c r="C2" s="19"/>
      <c r="D2" s="10"/>
    </row>
    <row r="3" spans="1:4" x14ac:dyDescent="0.2">
      <c r="A3" s="9" t="s">
        <v>0</v>
      </c>
      <c r="B3" s="19" t="s">
        <v>18</v>
      </c>
      <c r="C3" s="19" t="s">
        <v>19</v>
      </c>
      <c r="D3" s="10" t="s">
        <v>20</v>
      </c>
    </row>
    <row r="4" spans="1:4" x14ac:dyDescent="0.2">
      <c r="A4" s="20">
        <f>excel_forecast!A2</f>
        <v>42808</v>
      </c>
      <c r="B4" s="19">
        <f>excel_forecast!B2</f>
        <v>166.38</v>
      </c>
      <c r="C4" s="19">
        <f>excel_forecast!C2</f>
        <v>138.43</v>
      </c>
      <c r="D4" s="10">
        <f>excel_forecast!D2</f>
        <v>194.56</v>
      </c>
    </row>
    <row r="5" spans="1:4" x14ac:dyDescent="0.2">
      <c r="A5" s="20">
        <f>excel_forecast!A3</f>
        <v>42809</v>
      </c>
      <c r="B5" s="19">
        <f>excel_forecast!B3</f>
        <v>167</v>
      </c>
      <c r="C5" s="19">
        <f>excel_forecast!C3</f>
        <v>137.91</v>
      </c>
      <c r="D5" s="10">
        <f>excel_forecast!D3</f>
        <v>195.25</v>
      </c>
    </row>
    <row r="6" spans="1:4" x14ac:dyDescent="0.2">
      <c r="A6" s="20">
        <f>excel_forecast!A4</f>
        <v>42810</v>
      </c>
      <c r="B6" s="19">
        <f>excel_forecast!B4</f>
        <v>167.61</v>
      </c>
      <c r="C6" s="19">
        <f>excel_forecast!C4</f>
        <v>142.25</v>
      </c>
      <c r="D6" s="10">
        <f>excel_forecast!D4</f>
        <v>196.88</v>
      </c>
    </row>
    <row r="7" spans="1:4" x14ac:dyDescent="0.2">
      <c r="A7" s="20">
        <f>excel_forecast!A5</f>
        <v>42811</v>
      </c>
      <c r="B7" s="19">
        <f>excel_forecast!B5</f>
        <v>168.51</v>
      </c>
      <c r="C7" s="19">
        <f>excel_forecast!C5</f>
        <v>139.44</v>
      </c>
      <c r="D7" s="10">
        <f>excel_forecast!D5</f>
        <v>198.54</v>
      </c>
    </row>
    <row r="8" spans="1:4" x14ac:dyDescent="0.2">
      <c r="A8" s="20">
        <f>excel_forecast!A6</f>
        <v>42812</v>
      </c>
      <c r="B8" s="19">
        <f>excel_forecast!B6</f>
        <v>167.93</v>
      </c>
      <c r="C8" s="19">
        <f>excel_forecast!C6</f>
        <v>140.63</v>
      </c>
      <c r="D8" s="10">
        <f>excel_forecast!D6</f>
        <v>195.71</v>
      </c>
    </row>
    <row r="9" spans="1:4" x14ac:dyDescent="0.2">
      <c r="A9" s="20">
        <f>excel_forecast!A7</f>
        <v>42813</v>
      </c>
      <c r="B9" s="19">
        <f>excel_forecast!B7</f>
        <v>167.85</v>
      </c>
      <c r="C9" s="19">
        <f>excel_forecast!C7</f>
        <v>140.19999999999999</v>
      </c>
      <c r="D9" s="10">
        <f>excel_forecast!D7</f>
        <v>194.53</v>
      </c>
    </row>
    <row r="10" spans="1:4" x14ac:dyDescent="0.2">
      <c r="A10" s="20">
        <f>excel_forecast!A8</f>
        <v>42814</v>
      </c>
      <c r="B10" s="19">
        <f>excel_forecast!B8</f>
        <v>167.33</v>
      </c>
      <c r="C10" s="19">
        <f>excel_forecast!C8</f>
        <v>139.69</v>
      </c>
      <c r="D10" s="10">
        <f>excel_forecast!D8</f>
        <v>193.75</v>
      </c>
    </row>
    <row r="11" spans="1:4" x14ac:dyDescent="0.2">
      <c r="A11" s="20">
        <f>excel_forecast!A9</f>
        <v>42815</v>
      </c>
      <c r="B11" s="19">
        <f>excel_forecast!B9</f>
        <v>165.23</v>
      </c>
      <c r="C11" s="19">
        <f>excel_forecast!C9</f>
        <v>137.28</v>
      </c>
      <c r="D11" s="10">
        <f>excel_forecast!D9</f>
        <v>193.14</v>
      </c>
    </row>
    <row r="12" spans="1:4" x14ac:dyDescent="0.2">
      <c r="A12" s="20">
        <f>excel_forecast!A10</f>
        <v>42816</v>
      </c>
      <c r="B12" s="19">
        <f>excel_forecast!B10</f>
        <v>166.52</v>
      </c>
      <c r="C12" s="19">
        <f>excel_forecast!C10</f>
        <v>139.38</v>
      </c>
      <c r="D12" s="10">
        <f>excel_forecast!D10</f>
        <v>194.07</v>
      </c>
    </row>
    <row r="13" spans="1:4" x14ac:dyDescent="0.2">
      <c r="A13" s="20">
        <f>excel_forecast!A11</f>
        <v>42817</v>
      </c>
      <c r="B13" s="19">
        <f>excel_forecast!B11</f>
        <v>167.82</v>
      </c>
      <c r="C13" s="19">
        <f>excel_forecast!C11</f>
        <v>140.43</v>
      </c>
      <c r="D13" s="10">
        <f>excel_forecast!D11</f>
        <v>194.49</v>
      </c>
    </row>
    <row r="14" spans="1:4" x14ac:dyDescent="0.2">
      <c r="A14" s="20">
        <f>excel_forecast!A12</f>
        <v>42818</v>
      </c>
      <c r="B14" s="19">
        <f>excel_forecast!B12</f>
        <v>169.43</v>
      </c>
      <c r="C14" s="19">
        <f>excel_forecast!C12</f>
        <v>143.13999999999999</v>
      </c>
      <c r="D14" s="10">
        <f>excel_forecast!D12</f>
        <v>196.35</v>
      </c>
    </row>
    <row r="15" spans="1:4" x14ac:dyDescent="0.2">
      <c r="A15" s="20">
        <f>excel_forecast!A13</f>
        <v>42819</v>
      </c>
      <c r="B15" s="19">
        <f>excel_forecast!B13</f>
        <v>169.56</v>
      </c>
      <c r="C15" s="19">
        <f>excel_forecast!C13</f>
        <v>140.19999999999999</v>
      </c>
      <c r="D15" s="10">
        <f>excel_forecast!D13</f>
        <v>198.4</v>
      </c>
    </row>
    <row r="16" spans="1:4" x14ac:dyDescent="0.2">
      <c r="A16" s="20">
        <f>excel_forecast!A14</f>
        <v>42820</v>
      </c>
      <c r="B16" s="19">
        <f>excel_forecast!B14</f>
        <v>170.16</v>
      </c>
      <c r="C16" s="19">
        <f>excel_forecast!C14</f>
        <v>140.63</v>
      </c>
      <c r="D16" s="10">
        <f>excel_forecast!D14</f>
        <v>197.67</v>
      </c>
    </row>
    <row r="17" spans="1:4" x14ac:dyDescent="0.2">
      <c r="A17" s="20">
        <f>excel_forecast!A15</f>
        <v>42821</v>
      </c>
      <c r="B17" s="19">
        <f>excel_forecast!B15</f>
        <v>170.29</v>
      </c>
      <c r="C17" s="19">
        <f>excel_forecast!C15</f>
        <v>143.22</v>
      </c>
      <c r="D17" s="10">
        <f>excel_forecast!D15</f>
        <v>198.06</v>
      </c>
    </row>
    <row r="18" spans="1:4" x14ac:dyDescent="0.2">
      <c r="A18" s="20">
        <f>excel_forecast!A16</f>
        <v>42822</v>
      </c>
      <c r="B18" s="19">
        <f>excel_forecast!B16</f>
        <v>168.77</v>
      </c>
      <c r="C18" s="19">
        <f>excel_forecast!C16</f>
        <v>143.21</v>
      </c>
      <c r="D18" s="10">
        <f>excel_forecast!D16</f>
        <v>196.58</v>
      </c>
    </row>
    <row r="19" spans="1:4" x14ac:dyDescent="0.2">
      <c r="A19" s="20">
        <f>excel_forecast!A17</f>
        <v>42823</v>
      </c>
      <c r="B19" s="19">
        <f>excel_forecast!B17</f>
        <v>170.58</v>
      </c>
      <c r="C19" s="19">
        <f>excel_forecast!C17</f>
        <v>143.22999999999999</v>
      </c>
      <c r="D19" s="10">
        <f>excel_forecast!D17</f>
        <v>198.12</v>
      </c>
    </row>
    <row r="20" spans="1:4" x14ac:dyDescent="0.2">
      <c r="A20" s="20">
        <f>excel_forecast!A18</f>
        <v>42824</v>
      </c>
      <c r="B20" s="19">
        <f>excel_forecast!B18</f>
        <v>172.31</v>
      </c>
      <c r="C20" s="19">
        <f>excel_forecast!C18</f>
        <v>144.28</v>
      </c>
      <c r="D20" s="10">
        <f>excel_forecast!D18</f>
        <v>202.21</v>
      </c>
    </row>
    <row r="21" spans="1:4" x14ac:dyDescent="0.2">
      <c r="A21" s="20">
        <f>excel_forecast!A19</f>
        <v>42825</v>
      </c>
      <c r="B21" s="19">
        <f>excel_forecast!B19</f>
        <v>174.25</v>
      </c>
      <c r="C21" s="19">
        <f>excel_forecast!C19</f>
        <v>144.81</v>
      </c>
      <c r="D21" s="10">
        <f>excel_forecast!D19</f>
        <v>202.94</v>
      </c>
    </row>
    <row r="22" spans="1:4" x14ac:dyDescent="0.2">
      <c r="A22" s="20">
        <f>excel_forecast!A20</f>
        <v>42826</v>
      </c>
      <c r="B22" s="19">
        <f>excel_forecast!B20</f>
        <v>174.59</v>
      </c>
      <c r="C22" s="19">
        <f>excel_forecast!C20</f>
        <v>148.24</v>
      </c>
      <c r="D22" s="10">
        <f>excel_forecast!D20</f>
        <v>201.97</v>
      </c>
    </row>
    <row r="23" spans="1:4" x14ac:dyDescent="0.2">
      <c r="A23" s="20">
        <f>excel_forecast!A21</f>
        <v>42827</v>
      </c>
      <c r="B23" s="19">
        <f>excel_forecast!B21</f>
        <v>175.29</v>
      </c>
      <c r="C23" s="19">
        <f>excel_forecast!C21</f>
        <v>148.54</v>
      </c>
      <c r="D23" s="10">
        <f>excel_forecast!D21</f>
        <v>204.46</v>
      </c>
    </row>
    <row r="24" spans="1:4" x14ac:dyDescent="0.2">
      <c r="A24" s="20">
        <f>excel_forecast!A22</f>
        <v>42828</v>
      </c>
      <c r="B24" s="19">
        <f>excel_forecast!B22</f>
        <v>175.39</v>
      </c>
      <c r="C24" s="19">
        <f>excel_forecast!C22</f>
        <v>147.30000000000001</v>
      </c>
      <c r="D24" s="10">
        <f>excel_forecast!D22</f>
        <v>204.61</v>
      </c>
    </row>
    <row r="25" spans="1:4" x14ac:dyDescent="0.2">
      <c r="A25" s="20">
        <f>excel_forecast!A23</f>
        <v>42829</v>
      </c>
      <c r="B25" s="19">
        <f>excel_forecast!B23</f>
        <v>173.72</v>
      </c>
      <c r="C25" s="19">
        <f>excel_forecast!C23</f>
        <v>148.09</v>
      </c>
      <c r="D25" s="10">
        <f>excel_forecast!D23</f>
        <v>200.46</v>
      </c>
    </row>
    <row r="26" spans="1:4" x14ac:dyDescent="0.2">
      <c r="A26" s="20">
        <f>excel_forecast!A24</f>
        <v>42830</v>
      </c>
      <c r="B26" s="19">
        <f>excel_forecast!B24</f>
        <v>175.25</v>
      </c>
      <c r="C26" s="19">
        <f>excel_forecast!C24</f>
        <v>146.25</v>
      </c>
      <c r="D26" s="10">
        <f>excel_forecast!D24</f>
        <v>203.57</v>
      </c>
    </row>
    <row r="27" spans="1:4" x14ac:dyDescent="0.2">
      <c r="A27" s="20">
        <f>excel_forecast!A25</f>
        <v>42831</v>
      </c>
      <c r="B27" s="19">
        <f>excel_forecast!B25</f>
        <v>176.58</v>
      </c>
      <c r="C27" s="19">
        <f>excel_forecast!C25</f>
        <v>147.62</v>
      </c>
      <c r="D27" s="10">
        <f>excel_forecast!D25</f>
        <v>205.95</v>
      </c>
    </row>
    <row r="28" spans="1:4" x14ac:dyDescent="0.2">
      <c r="A28" s="20">
        <f>excel_forecast!A26</f>
        <v>42832</v>
      </c>
      <c r="B28" s="19">
        <f>excel_forecast!B26</f>
        <v>178.01</v>
      </c>
      <c r="C28" s="19">
        <f>excel_forecast!C26</f>
        <v>148.62</v>
      </c>
      <c r="D28" s="10">
        <f>excel_forecast!D26</f>
        <v>205.6</v>
      </c>
    </row>
    <row r="29" spans="1:4" x14ac:dyDescent="0.2">
      <c r="A29" s="20">
        <f>excel_forecast!A27</f>
        <v>42833</v>
      </c>
      <c r="B29" s="19">
        <f>excel_forecast!B27</f>
        <v>177.74</v>
      </c>
      <c r="C29" s="19">
        <f>excel_forecast!C27</f>
        <v>151.1</v>
      </c>
      <c r="D29" s="10">
        <f>excel_forecast!D27</f>
        <v>206.94</v>
      </c>
    </row>
    <row r="30" spans="1:4" x14ac:dyDescent="0.2">
      <c r="A30" s="20">
        <f>excel_forecast!A28</f>
        <v>42834</v>
      </c>
      <c r="B30" s="19">
        <f>excel_forecast!B28</f>
        <v>177.74</v>
      </c>
      <c r="C30" s="19">
        <f>excel_forecast!C28</f>
        <v>149.71</v>
      </c>
      <c r="D30" s="10">
        <f>excel_forecast!D28</f>
        <v>204.74</v>
      </c>
    </row>
    <row r="31" spans="1:4" x14ac:dyDescent="0.2">
      <c r="A31" s="20">
        <f>excel_forecast!A29</f>
        <v>42835</v>
      </c>
      <c r="B31" s="19">
        <f>excel_forecast!B29</f>
        <v>177.06</v>
      </c>
      <c r="C31" s="19">
        <f>excel_forecast!C29</f>
        <v>148</v>
      </c>
      <c r="D31" s="10">
        <f>excel_forecast!D29</f>
        <v>203.99</v>
      </c>
    </row>
    <row r="32" spans="1:4" x14ac:dyDescent="0.2">
      <c r="A32" s="20">
        <f>excel_forecast!A30</f>
        <v>42836</v>
      </c>
      <c r="B32" s="19">
        <f>excel_forecast!B30</f>
        <v>174.56</v>
      </c>
      <c r="C32" s="19">
        <f>excel_forecast!C30</f>
        <v>148.31</v>
      </c>
      <c r="D32" s="10">
        <f>excel_forecast!D30</f>
        <v>201.58</v>
      </c>
    </row>
    <row r="33" spans="1:4" ht="17" thickBot="1" x14ac:dyDescent="0.25">
      <c r="A33" s="21">
        <f>excel_forecast!A31</f>
        <v>42837</v>
      </c>
      <c r="B33" s="12">
        <f>excel_forecast!B31</f>
        <v>175.22</v>
      </c>
      <c r="C33" s="12">
        <f>excel_forecast!C31</f>
        <v>148.33000000000001</v>
      </c>
      <c r="D33" s="13">
        <f>excel_forecast!D31</f>
        <v>203.43</v>
      </c>
    </row>
    <row r="34" spans="1:4" ht="17" thickTop="1" x14ac:dyDescent="0.2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3044-A861-AB41-9D6B-FB13949866FA}">
  <dimension ref="A1:O31"/>
  <sheetViews>
    <sheetView workbookViewId="0">
      <selection sqref="A1:O31"/>
    </sheetView>
  </sheetViews>
  <sheetFormatPr baseColWidth="10" defaultRowHeight="16" x14ac:dyDescent="0.2"/>
  <cols>
    <col min="1" max="1" width="7.6640625" bestFit="1" customWidth="1"/>
    <col min="2" max="2" width="22.83203125" bestFit="1" customWidth="1"/>
    <col min="3" max="3" width="18.1640625" bestFit="1" customWidth="1"/>
    <col min="4" max="4" width="17.5" bestFit="1" customWidth="1"/>
    <col min="5" max="5" width="17.83203125" bestFit="1" customWidth="1"/>
    <col min="6" max="6" width="17.1640625" bestFit="1" customWidth="1"/>
    <col min="7" max="7" width="19.83203125" bestFit="1" customWidth="1"/>
    <col min="8" max="8" width="19.1640625" bestFit="1" customWidth="1"/>
    <col min="9" max="9" width="19.5" bestFit="1" customWidth="1"/>
    <col min="10" max="10" width="18.83203125" bestFit="1" customWidth="1"/>
    <col min="11" max="11" width="16" bestFit="1" customWidth="1"/>
    <col min="12" max="12" width="15.33203125" bestFit="1" customWidth="1"/>
    <col min="13" max="13" width="15.6640625" bestFit="1" customWidth="1"/>
    <col min="14" max="14" width="15" bestFit="1" customWidth="1"/>
    <col min="15" max="15" width="15.5" bestFit="1" customWidth="1"/>
  </cols>
  <sheetData>
    <row r="1" spans="1:15" x14ac:dyDescent="0.2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</row>
    <row r="2" spans="1:15" x14ac:dyDescent="0.2">
      <c r="A2" s="16">
        <v>42808</v>
      </c>
      <c r="B2" s="2">
        <v>166.38</v>
      </c>
      <c r="C2" s="2">
        <v>8</v>
      </c>
      <c r="D2" s="2">
        <v>4</v>
      </c>
      <c r="E2" s="2">
        <v>2</v>
      </c>
      <c r="F2" s="2">
        <v>2</v>
      </c>
      <c r="G2" s="2">
        <v>8</v>
      </c>
      <c r="H2" s="2">
        <v>4</v>
      </c>
      <c r="I2" s="2">
        <v>2</v>
      </c>
      <c r="J2" s="2">
        <v>2</v>
      </c>
      <c r="K2" s="2">
        <v>8</v>
      </c>
      <c r="L2" s="2">
        <v>4</v>
      </c>
      <c r="M2" s="2">
        <v>2</v>
      </c>
      <c r="N2" s="2">
        <v>2</v>
      </c>
      <c r="O2" s="2">
        <v>24</v>
      </c>
    </row>
    <row r="3" spans="1:15" x14ac:dyDescent="0.2">
      <c r="A3" s="16">
        <v>42809</v>
      </c>
      <c r="B3" s="2">
        <v>167</v>
      </c>
      <c r="C3" s="2">
        <v>8</v>
      </c>
      <c r="D3" s="2">
        <v>4</v>
      </c>
      <c r="E3" s="2">
        <v>2</v>
      </c>
      <c r="F3" s="2">
        <v>2</v>
      </c>
      <c r="G3" s="2">
        <v>8</v>
      </c>
      <c r="H3" s="2">
        <v>4</v>
      </c>
      <c r="I3" s="2">
        <v>2</v>
      </c>
      <c r="J3" s="2">
        <v>2</v>
      </c>
      <c r="K3" s="2">
        <v>8</v>
      </c>
      <c r="L3" s="2">
        <v>4</v>
      </c>
      <c r="M3" s="2">
        <v>2</v>
      </c>
      <c r="N3" s="2">
        <v>2</v>
      </c>
      <c r="O3" s="2">
        <v>24</v>
      </c>
    </row>
    <row r="4" spans="1:15" x14ac:dyDescent="0.2">
      <c r="A4" s="16">
        <v>42810</v>
      </c>
      <c r="B4" s="2">
        <v>167.61</v>
      </c>
      <c r="C4" s="2">
        <v>8</v>
      </c>
      <c r="D4" s="2">
        <v>4</v>
      </c>
      <c r="E4" s="2">
        <v>2</v>
      </c>
      <c r="F4" s="2">
        <v>2</v>
      </c>
      <c r="G4" s="2">
        <v>8</v>
      </c>
      <c r="H4" s="2">
        <v>4</v>
      </c>
      <c r="I4" s="2">
        <v>2</v>
      </c>
      <c r="J4" s="2">
        <v>2</v>
      </c>
      <c r="K4" s="2">
        <v>8</v>
      </c>
      <c r="L4" s="2">
        <v>4</v>
      </c>
      <c r="M4" s="2">
        <v>2</v>
      </c>
      <c r="N4" s="2">
        <v>2</v>
      </c>
      <c r="O4" s="2">
        <v>24</v>
      </c>
    </row>
    <row r="5" spans="1:15" x14ac:dyDescent="0.2">
      <c r="A5" s="16">
        <v>42811</v>
      </c>
      <c r="B5" s="2">
        <v>168.51</v>
      </c>
      <c r="C5" s="2">
        <v>8</v>
      </c>
      <c r="D5" s="2">
        <v>4</v>
      </c>
      <c r="E5" s="2">
        <v>2</v>
      </c>
      <c r="F5" s="2">
        <v>2</v>
      </c>
      <c r="G5" s="2">
        <v>8</v>
      </c>
      <c r="H5" s="2">
        <v>4</v>
      </c>
      <c r="I5" s="2">
        <v>2</v>
      </c>
      <c r="J5" s="2">
        <v>2</v>
      </c>
      <c r="K5" s="2">
        <v>8</v>
      </c>
      <c r="L5" s="2">
        <v>4</v>
      </c>
      <c r="M5" s="2">
        <v>2</v>
      </c>
      <c r="N5" s="2">
        <v>2</v>
      </c>
      <c r="O5" s="2">
        <v>24</v>
      </c>
    </row>
    <row r="6" spans="1:15" x14ac:dyDescent="0.2">
      <c r="A6" s="16">
        <v>42812</v>
      </c>
      <c r="B6" s="2">
        <v>167.93</v>
      </c>
      <c r="C6" s="2">
        <v>8</v>
      </c>
      <c r="D6" s="2">
        <v>4</v>
      </c>
      <c r="E6" s="2">
        <v>2</v>
      </c>
      <c r="F6" s="2">
        <v>2</v>
      </c>
      <c r="G6" s="2">
        <v>8</v>
      </c>
      <c r="H6" s="2">
        <v>4</v>
      </c>
      <c r="I6" s="2">
        <v>2</v>
      </c>
      <c r="J6" s="2">
        <v>2</v>
      </c>
      <c r="K6" s="2">
        <v>8</v>
      </c>
      <c r="L6" s="2">
        <v>4</v>
      </c>
      <c r="M6" s="2">
        <v>2</v>
      </c>
      <c r="N6" s="2">
        <v>2</v>
      </c>
      <c r="O6" s="2">
        <v>24</v>
      </c>
    </row>
    <row r="7" spans="1:15" x14ac:dyDescent="0.2">
      <c r="A7" s="16">
        <v>42813</v>
      </c>
      <c r="B7" s="2">
        <v>167.85</v>
      </c>
      <c r="C7" s="2">
        <v>8</v>
      </c>
      <c r="D7" s="2">
        <v>4</v>
      </c>
      <c r="E7" s="2">
        <v>2</v>
      </c>
      <c r="F7" s="2">
        <v>2</v>
      </c>
      <c r="G7" s="2">
        <v>8</v>
      </c>
      <c r="H7" s="2">
        <v>4</v>
      </c>
      <c r="I7" s="2">
        <v>2</v>
      </c>
      <c r="J7" s="2">
        <v>2</v>
      </c>
      <c r="K7" s="2">
        <v>8</v>
      </c>
      <c r="L7" s="2">
        <v>4</v>
      </c>
      <c r="M7" s="2">
        <v>2</v>
      </c>
      <c r="N7" s="2">
        <v>2</v>
      </c>
      <c r="O7" s="2">
        <v>24</v>
      </c>
    </row>
    <row r="8" spans="1:15" x14ac:dyDescent="0.2">
      <c r="A8" s="16">
        <v>42814</v>
      </c>
      <c r="B8" s="2">
        <v>167.33</v>
      </c>
      <c r="C8" s="2">
        <v>8</v>
      </c>
      <c r="D8" s="2">
        <v>4</v>
      </c>
      <c r="E8" s="2">
        <v>2</v>
      </c>
      <c r="F8" s="2">
        <v>2</v>
      </c>
      <c r="G8" s="2">
        <v>8</v>
      </c>
      <c r="H8" s="2">
        <v>4</v>
      </c>
      <c r="I8" s="2">
        <v>2</v>
      </c>
      <c r="J8" s="2">
        <v>2</v>
      </c>
      <c r="K8" s="2">
        <v>8</v>
      </c>
      <c r="L8" s="2">
        <v>4</v>
      </c>
      <c r="M8" s="2">
        <v>2</v>
      </c>
      <c r="N8" s="2">
        <v>2</v>
      </c>
      <c r="O8" s="2">
        <v>24</v>
      </c>
    </row>
    <row r="9" spans="1:15" x14ac:dyDescent="0.2">
      <c r="A9" s="16">
        <v>42815</v>
      </c>
      <c r="B9" s="2">
        <v>165.23</v>
      </c>
      <c r="C9" s="2">
        <v>8</v>
      </c>
      <c r="D9" s="2">
        <v>4</v>
      </c>
      <c r="E9" s="2">
        <v>2</v>
      </c>
      <c r="F9" s="2">
        <v>2</v>
      </c>
      <c r="G9" s="2">
        <v>8</v>
      </c>
      <c r="H9" s="2">
        <v>4</v>
      </c>
      <c r="I9" s="2">
        <v>2</v>
      </c>
      <c r="J9" s="2">
        <v>2</v>
      </c>
      <c r="K9" s="2">
        <v>8</v>
      </c>
      <c r="L9" s="2">
        <v>4</v>
      </c>
      <c r="M9" s="2">
        <v>2</v>
      </c>
      <c r="N9" s="2">
        <v>2</v>
      </c>
      <c r="O9" s="2">
        <v>24</v>
      </c>
    </row>
    <row r="10" spans="1:15" x14ac:dyDescent="0.2">
      <c r="A10" s="16">
        <v>42816</v>
      </c>
      <c r="B10" s="2">
        <v>166.52</v>
      </c>
      <c r="C10" s="2">
        <v>8</v>
      </c>
      <c r="D10" s="2">
        <v>4</v>
      </c>
      <c r="E10" s="2">
        <v>2</v>
      </c>
      <c r="F10" s="2">
        <v>2</v>
      </c>
      <c r="G10" s="2">
        <v>8</v>
      </c>
      <c r="H10" s="2">
        <v>4</v>
      </c>
      <c r="I10" s="2">
        <v>2</v>
      </c>
      <c r="J10" s="2">
        <v>2</v>
      </c>
      <c r="K10" s="2">
        <v>8</v>
      </c>
      <c r="L10" s="2">
        <v>4</v>
      </c>
      <c r="M10" s="2">
        <v>2</v>
      </c>
      <c r="N10" s="2">
        <v>2</v>
      </c>
      <c r="O10" s="2">
        <v>24</v>
      </c>
    </row>
    <row r="11" spans="1:15" x14ac:dyDescent="0.2">
      <c r="A11" s="16">
        <v>42817</v>
      </c>
      <c r="B11" s="2">
        <v>167.82</v>
      </c>
      <c r="C11" s="2">
        <v>8</v>
      </c>
      <c r="D11" s="2">
        <v>4</v>
      </c>
      <c r="E11" s="2">
        <v>2</v>
      </c>
      <c r="F11" s="2">
        <v>2</v>
      </c>
      <c r="G11" s="2">
        <v>8</v>
      </c>
      <c r="H11" s="2">
        <v>4</v>
      </c>
      <c r="I11" s="2">
        <v>2</v>
      </c>
      <c r="J11" s="2">
        <v>2</v>
      </c>
      <c r="K11" s="2">
        <v>8</v>
      </c>
      <c r="L11" s="2">
        <v>4</v>
      </c>
      <c r="M11" s="2">
        <v>2</v>
      </c>
      <c r="N11" s="2">
        <v>2</v>
      </c>
      <c r="O11" s="2">
        <v>24</v>
      </c>
    </row>
    <row r="12" spans="1:15" x14ac:dyDescent="0.2">
      <c r="A12" s="16">
        <v>42818</v>
      </c>
      <c r="B12" s="2">
        <v>169.43</v>
      </c>
      <c r="C12" s="2">
        <v>8</v>
      </c>
      <c r="D12" s="2">
        <v>4</v>
      </c>
      <c r="E12" s="2">
        <v>2</v>
      </c>
      <c r="F12" s="2">
        <v>2</v>
      </c>
      <c r="G12" s="2">
        <v>8</v>
      </c>
      <c r="H12" s="2">
        <v>4</v>
      </c>
      <c r="I12" s="2">
        <v>2</v>
      </c>
      <c r="J12" s="2">
        <v>2</v>
      </c>
      <c r="K12" s="2">
        <v>8</v>
      </c>
      <c r="L12" s="2">
        <v>4</v>
      </c>
      <c r="M12" s="2">
        <v>2</v>
      </c>
      <c r="N12" s="2">
        <v>2</v>
      </c>
      <c r="O12" s="2">
        <v>24</v>
      </c>
    </row>
    <row r="13" spans="1:15" x14ac:dyDescent="0.2">
      <c r="A13" s="16">
        <v>42819</v>
      </c>
      <c r="B13" s="2">
        <v>169.56</v>
      </c>
      <c r="C13" s="2">
        <v>8</v>
      </c>
      <c r="D13" s="2">
        <v>4</v>
      </c>
      <c r="E13" s="2">
        <v>2</v>
      </c>
      <c r="F13" s="2">
        <v>2</v>
      </c>
      <c r="G13" s="2">
        <v>8</v>
      </c>
      <c r="H13" s="2">
        <v>4</v>
      </c>
      <c r="I13" s="2">
        <v>2</v>
      </c>
      <c r="J13" s="2">
        <v>2</v>
      </c>
      <c r="K13" s="2">
        <v>8</v>
      </c>
      <c r="L13" s="2">
        <v>4</v>
      </c>
      <c r="M13" s="2">
        <v>2</v>
      </c>
      <c r="N13" s="2">
        <v>2</v>
      </c>
      <c r="O13" s="2">
        <v>24</v>
      </c>
    </row>
    <row r="14" spans="1:15" x14ac:dyDescent="0.2">
      <c r="A14" s="16">
        <v>42820</v>
      </c>
      <c r="B14" s="2">
        <v>170.16</v>
      </c>
      <c r="C14" s="2">
        <v>8</v>
      </c>
      <c r="D14" s="2">
        <v>4</v>
      </c>
      <c r="E14" s="2">
        <v>2</v>
      </c>
      <c r="F14" s="2">
        <v>2</v>
      </c>
      <c r="G14" s="2">
        <v>8</v>
      </c>
      <c r="H14" s="2">
        <v>4</v>
      </c>
      <c r="I14" s="2">
        <v>2</v>
      </c>
      <c r="J14" s="2">
        <v>2</v>
      </c>
      <c r="K14" s="2">
        <v>8</v>
      </c>
      <c r="L14" s="2">
        <v>4</v>
      </c>
      <c r="M14" s="2">
        <v>2</v>
      </c>
      <c r="N14" s="2">
        <v>2</v>
      </c>
      <c r="O14" s="2">
        <v>24</v>
      </c>
    </row>
    <row r="15" spans="1:15" x14ac:dyDescent="0.2">
      <c r="A15" s="16">
        <v>42821</v>
      </c>
      <c r="B15" s="2">
        <v>170.29</v>
      </c>
      <c r="C15" s="2">
        <v>8</v>
      </c>
      <c r="D15" s="2">
        <v>4</v>
      </c>
      <c r="E15" s="2">
        <v>2</v>
      </c>
      <c r="F15" s="2">
        <v>2</v>
      </c>
      <c r="G15" s="2">
        <v>8</v>
      </c>
      <c r="H15" s="2">
        <v>4</v>
      </c>
      <c r="I15" s="2">
        <v>2</v>
      </c>
      <c r="J15" s="2">
        <v>2</v>
      </c>
      <c r="K15" s="2">
        <v>8</v>
      </c>
      <c r="L15" s="2">
        <v>4</v>
      </c>
      <c r="M15" s="2">
        <v>2</v>
      </c>
      <c r="N15" s="2">
        <v>2</v>
      </c>
      <c r="O15" s="2">
        <v>24</v>
      </c>
    </row>
    <row r="16" spans="1:15" x14ac:dyDescent="0.2">
      <c r="A16" s="16">
        <v>42822</v>
      </c>
      <c r="B16" s="2">
        <v>168.77</v>
      </c>
      <c r="C16" s="2">
        <v>8</v>
      </c>
      <c r="D16" s="2">
        <v>4</v>
      </c>
      <c r="E16" s="2">
        <v>2</v>
      </c>
      <c r="F16" s="2">
        <v>2</v>
      </c>
      <c r="G16" s="2">
        <v>8</v>
      </c>
      <c r="H16" s="2">
        <v>4</v>
      </c>
      <c r="I16" s="2">
        <v>2</v>
      </c>
      <c r="J16" s="2">
        <v>2</v>
      </c>
      <c r="K16" s="2">
        <v>8</v>
      </c>
      <c r="L16" s="2">
        <v>4</v>
      </c>
      <c r="M16" s="2">
        <v>2</v>
      </c>
      <c r="N16" s="2">
        <v>2</v>
      </c>
      <c r="O16" s="2">
        <v>24</v>
      </c>
    </row>
    <row r="17" spans="1:15" x14ac:dyDescent="0.2">
      <c r="A17" s="16">
        <v>42823</v>
      </c>
      <c r="B17" s="2">
        <v>170.58</v>
      </c>
      <c r="C17" s="2">
        <v>8</v>
      </c>
      <c r="D17" s="2">
        <v>4</v>
      </c>
      <c r="E17" s="2">
        <v>2</v>
      </c>
      <c r="F17" s="2">
        <v>2</v>
      </c>
      <c r="G17" s="2">
        <v>8</v>
      </c>
      <c r="H17" s="2">
        <v>4</v>
      </c>
      <c r="I17" s="2">
        <v>2</v>
      </c>
      <c r="J17" s="2">
        <v>2</v>
      </c>
      <c r="K17" s="2">
        <v>8</v>
      </c>
      <c r="L17" s="2">
        <v>4</v>
      </c>
      <c r="M17" s="2">
        <v>2</v>
      </c>
      <c r="N17" s="2">
        <v>2</v>
      </c>
      <c r="O17" s="2">
        <v>24</v>
      </c>
    </row>
    <row r="18" spans="1:15" x14ac:dyDescent="0.2">
      <c r="A18" s="16">
        <v>42824</v>
      </c>
      <c r="B18" s="2">
        <v>172.31</v>
      </c>
      <c r="C18" s="2">
        <v>8</v>
      </c>
      <c r="D18" s="2">
        <v>4</v>
      </c>
      <c r="E18" s="2">
        <v>2</v>
      </c>
      <c r="F18" s="2">
        <v>2</v>
      </c>
      <c r="G18" s="2">
        <v>8</v>
      </c>
      <c r="H18" s="2">
        <v>4</v>
      </c>
      <c r="I18" s="2">
        <v>2</v>
      </c>
      <c r="J18" s="2">
        <v>2</v>
      </c>
      <c r="K18" s="2">
        <v>8</v>
      </c>
      <c r="L18" s="2">
        <v>4</v>
      </c>
      <c r="M18" s="2">
        <v>2</v>
      </c>
      <c r="N18" s="2">
        <v>2</v>
      </c>
      <c r="O18" s="2">
        <v>24</v>
      </c>
    </row>
    <row r="19" spans="1:15" x14ac:dyDescent="0.2">
      <c r="A19" s="16">
        <v>42825</v>
      </c>
      <c r="B19" s="2">
        <v>174.25</v>
      </c>
      <c r="C19" s="2">
        <v>8</v>
      </c>
      <c r="D19" s="2">
        <v>4</v>
      </c>
      <c r="E19" s="2">
        <v>2</v>
      </c>
      <c r="F19" s="2">
        <v>2</v>
      </c>
      <c r="G19" s="2">
        <v>8</v>
      </c>
      <c r="H19" s="2">
        <v>4</v>
      </c>
      <c r="I19" s="2">
        <v>2</v>
      </c>
      <c r="J19" s="2">
        <v>2</v>
      </c>
      <c r="K19" s="2">
        <v>8</v>
      </c>
      <c r="L19" s="2">
        <v>4</v>
      </c>
      <c r="M19" s="2">
        <v>2</v>
      </c>
      <c r="N19" s="2">
        <v>2</v>
      </c>
      <c r="O19" s="2">
        <v>24</v>
      </c>
    </row>
    <row r="20" spans="1:15" x14ac:dyDescent="0.2">
      <c r="A20" s="16">
        <v>42826</v>
      </c>
      <c r="B20" s="2">
        <v>174.59</v>
      </c>
      <c r="C20" s="2">
        <v>8</v>
      </c>
      <c r="D20" s="2">
        <v>4</v>
      </c>
      <c r="E20" s="2">
        <v>2</v>
      </c>
      <c r="F20" s="2">
        <v>2</v>
      </c>
      <c r="G20" s="2">
        <v>8</v>
      </c>
      <c r="H20" s="2">
        <v>4</v>
      </c>
      <c r="I20" s="2">
        <v>2</v>
      </c>
      <c r="J20" s="2">
        <v>2</v>
      </c>
      <c r="K20" s="2">
        <v>8</v>
      </c>
      <c r="L20" s="2">
        <v>4</v>
      </c>
      <c r="M20" s="2">
        <v>2</v>
      </c>
      <c r="N20" s="2">
        <v>2</v>
      </c>
      <c r="O20" s="2">
        <v>24</v>
      </c>
    </row>
    <row r="21" spans="1:15" x14ac:dyDescent="0.2">
      <c r="A21" s="16">
        <v>42827</v>
      </c>
      <c r="B21" s="2">
        <v>175.29</v>
      </c>
      <c r="C21" s="2">
        <v>8</v>
      </c>
      <c r="D21" s="2">
        <v>4</v>
      </c>
      <c r="E21" s="2">
        <v>2</v>
      </c>
      <c r="F21" s="2">
        <v>2</v>
      </c>
      <c r="G21" s="2">
        <v>8</v>
      </c>
      <c r="H21" s="2">
        <v>4</v>
      </c>
      <c r="I21" s="2">
        <v>2</v>
      </c>
      <c r="J21" s="2">
        <v>2</v>
      </c>
      <c r="K21" s="2">
        <v>8</v>
      </c>
      <c r="L21" s="2">
        <v>4</v>
      </c>
      <c r="M21" s="2">
        <v>2</v>
      </c>
      <c r="N21" s="2">
        <v>2</v>
      </c>
      <c r="O21" s="2">
        <v>24</v>
      </c>
    </row>
    <row r="22" spans="1:15" x14ac:dyDescent="0.2">
      <c r="A22" s="16">
        <v>42828</v>
      </c>
      <c r="B22" s="2">
        <v>175.39</v>
      </c>
      <c r="C22" s="2">
        <v>8</v>
      </c>
      <c r="D22" s="2">
        <v>4</v>
      </c>
      <c r="E22" s="2">
        <v>2</v>
      </c>
      <c r="F22" s="2">
        <v>2</v>
      </c>
      <c r="G22" s="2">
        <v>8</v>
      </c>
      <c r="H22" s="2">
        <v>4</v>
      </c>
      <c r="I22" s="2">
        <v>2</v>
      </c>
      <c r="J22" s="2">
        <v>2</v>
      </c>
      <c r="K22" s="2">
        <v>8</v>
      </c>
      <c r="L22" s="2">
        <v>4</v>
      </c>
      <c r="M22" s="2">
        <v>2</v>
      </c>
      <c r="N22" s="2">
        <v>2</v>
      </c>
      <c r="O22" s="2">
        <v>24</v>
      </c>
    </row>
    <row r="23" spans="1:15" x14ac:dyDescent="0.2">
      <c r="A23" s="16">
        <v>42829</v>
      </c>
      <c r="B23" s="2">
        <v>173.72</v>
      </c>
      <c r="C23" s="2">
        <v>8</v>
      </c>
      <c r="D23" s="2">
        <v>4</v>
      </c>
      <c r="E23" s="2">
        <v>2</v>
      </c>
      <c r="F23" s="2">
        <v>2</v>
      </c>
      <c r="G23" s="2">
        <v>8</v>
      </c>
      <c r="H23" s="2">
        <v>4</v>
      </c>
      <c r="I23" s="2">
        <v>2</v>
      </c>
      <c r="J23" s="2">
        <v>2</v>
      </c>
      <c r="K23" s="2">
        <v>8</v>
      </c>
      <c r="L23" s="2">
        <v>4</v>
      </c>
      <c r="M23" s="2">
        <v>2</v>
      </c>
      <c r="N23" s="2">
        <v>2</v>
      </c>
      <c r="O23" s="2">
        <v>24</v>
      </c>
    </row>
    <row r="24" spans="1:15" x14ac:dyDescent="0.2">
      <c r="A24" s="16">
        <v>42830</v>
      </c>
      <c r="B24" s="2">
        <v>175.25</v>
      </c>
      <c r="C24" s="2">
        <v>8</v>
      </c>
      <c r="D24" s="2">
        <v>4</v>
      </c>
      <c r="E24" s="2">
        <v>2</v>
      </c>
      <c r="F24" s="2">
        <v>2</v>
      </c>
      <c r="G24" s="2">
        <v>8</v>
      </c>
      <c r="H24" s="2">
        <v>4</v>
      </c>
      <c r="I24" s="2">
        <v>2</v>
      </c>
      <c r="J24" s="2">
        <v>2</v>
      </c>
      <c r="K24" s="2">
        <v>8</v>
      </c>
      <c r="L24" s="2">
        <v>4</v>
      </c>
      <c r="M24" s="2">
        <v>2</v>
      </c>
      <c r="N24" s="2">
        <v>2</v>
      </c>
      <c r="O24" s="2">
        <v>24</v>
      </c>
    </row>
    <row r="25" spans="1:15" x14ac:dyDescent="0.2">
      <c r="A25" s="16">
        <v>42831</v>
      </c>
      <c r="B25" s="2">
        <v>176.58</v>
      </c>
      <c r="C25" s="2">
        <v>8</v>
      </c>
      <c r="D25" s="2">
        <v>4</v>
      </c>
      <c r="E25" s="2">
        <v>2</v>
      </c>
      <c r="F25" s="2">
        <v>2</v>
      </c>
      <c r="G25" s="2">
        <v>8</v>
      </c>
      <c r="H25" s="2">
        <v>4</v>
      </c>
      <c r="I25" s="2">
        <v>2</v>
      </c>
      <c r="J25" s="2">
        <v>2</v>
      </c>
      <c r="K25" s="2">
        <v>8</v>
      </c>
      <c r="L25" s="2">
        <v>4</v>
      </c>
      <c r="M25" s="2">
        <v>2</v>
      </c>
      <c r="N25" s="2">
        <v>2</v>
      </c>
      <c r="O25" s="2">
        <v>24</v>
      </c>
    </row>
    <row r="26" spans="1:15" x14ac:dyDescent="0.2">
      <c r="A26" s="16">
        <v>42832</v>
      </c>
      <c r="B26" s="2">
        <v>178.01</v>
      </c>
      <c r="C26" s="2">
        <v>8</v>
      </c>
      <c r="D26" s="2">
        <v>4</v>
      </c>
      <c r="E26" s="2">
        <v>2</v>
      </c>
      <c r="F26" s="2">
        <v>2</v>
      </c>
      <c r="G26" s="2">
        <v>8</v>
      </c>
      <c r="H26" s="2">
        <v>4</v>
      </c>
      <c r="I26" s="2">
        <v>2</v>
      </c>
      <c r="J26" s="2">
        <v>2</v>
      </c>
      <c r="K26" s="2">
        <v>8</v>
      </c>
      <c r="L26" s="2">
        <v>4</v>
      </c>
      <c r="M26" s="2">
        <v>2</v>
      </c>
      <c r="N26" s="2">
        <v>2</v>
      </c>
      <c r="O26" s="2">
        <v>24</v>
      </c>
    </row>
    <row r="27" spans="1:15" x14ac:dyDescent="0.2">
      <c r="A27" s="16">
        <v>42833</v>
      </c>
      <c r="B27" s="2">
        <v>177.74</v>
      </c>
      <c r="C27" s="2">
        <v>8</v>
      </c>
      <c r="D27" s="2">
        <v>4</v>
      </c>
      <c r="E27" s="2">
        <v>2</v>
      </c>
      <c r="F27" s="2">
        <v>2</v>
      </c>
      <c r="G27" s="2">
        <v>8</v>
      </c>
      <c r="H27" s="2">
        <v>4</v>
      </c>
      <c r="I27" s="2">
        <v>2</v>
      </c>
      <c r="J27" s="2">
        <v>2</v>
      </c>
      <c r="K27" s="2">
        <v>8</v>
      </c>
      <c r="L27" s="2">
        <v>4</v>
      </c>
      <c r="M27" s="2">
        <v>2</v>
      </c>
      <c r="N27" s="2">
        <v>2</v>
      </c>
      <c r="O27" s="2">
        <v>24</v>
      </c>
    </row>
    <row r="28" spans="1:15" x14ac:dyDescent="0.2">
      <c r="A28" s="16">
        <v>42834</v>
      </c>
      <c r="B28" s="2">
        <v>177.74</v>
      </c>
      <c r="C28" s="2">
        <v>8</v>
      </c>
      <c r="D28" s="2">
        <v>4</v>
      </c>
      <c r="E28" s="2">
        <v>2</v>
      </c>
      <c r="F28" s="2">
        <v>2</v>
      </c>
      <c r="G28" s="2">
        <v>8</v>
      </c>
      <c r="H28" s="2">
        <v>4</v>
      </c>
      <c r="I28" s="2">
        <v>2</v>
      </c>
      <c r="J28" s="2">
        <v>2</v>
      </c>
      <c r="K28" s="2">
        <v>8</v>
      </c>
      <c r="L28" s="2">
        <v>4</v>
      </c>
      <c r="M28" s="2">
        <v>2</v>
      </c>
      <c r="N28" s="2">
        <v>2</v>
      </c>
      <c r="O28" s="2">
        <v>24</v>
      </c>
    </row>
    <row r="29" spans="1:15" x14ac:dyDescent="0.2">
      <c r="A29" s="16">
        <v>42835</v>
      </c>
      <c r="B29" s="2">
        <v>177.06</v>
      </c>
      <c r="C29" s="2">
        <v>8</v>
      </c>
      <c r="D29" s="2">
        <v>4</v>
      </c>
      <c r="E29" s="2">
        <v>2</v>
      </c>
      <c r="F29" s="2">
        <v>2</v>
      </c>
      <c r="G29" s="2">
        <v>8</v>
      </c>
      <c r="H29" s="2">
        <v>4</v>
      </c>
      <c r="I29" s="2">
        <v>2</v>
      </c>
      <c r="J29" s="2">
        <v>2</v>
      </c>
      <c r="K29" s="2">
        <v>8</v>
      </c>
      <c r="L29" s="2">
        <v>4</v>
      </c>
      <c r="M29" s="2">
        <v>2</v>
      </c>
      <c r="N29" s="2">
        <v>2</v>
      </c>
      <c r="O29" s="2">
        <v>24</v>
      </c>
    </row>
    <row r="30" spans="1:15" x14ac:dyDescent="0.2">
      <c r="A30" s="16">
        <v>42836</v>
      </c>
      <c r="B30" s="2">
        <v>174.56</v>
      </c>
      <c r="C30" s="2">
        <v>8</v>
      </c>
      <c r="D30" s="2">
        <v>4</v>
      </c>
      <c r="E30" s="2">
        <v>2</v>
      </c>
      <c r="F30" s="2">
        <v>2</v>
      </c>
      <c r="G30" s="2">
        <v>8</v>
      </c>
      <c r="H30" s="2">
        <v>4</v>
      </c>
      <c r="I30" s="2">
        <v>2</v>
      </c>
      <c r="J30" s="2">
        <v>2</v>
      </c>
      <c r="K30" s="2">
        <v>8</v>
      </c>
      <c r="L30" s="2">
        <v>4</v>
      </c>
      <c r="M30" s="2">
        <v>2</v>
      </c>
      <c r="N30" s="2">
        <v>2</v>
      </c>
      <c r="O30" s="2">
        <v>24</v>
      </c>
    </row>
    <row r="31" spans="1:15" x14ac:dyDescent="0.2">
      <c r="A31" s="16">
        <v>42837</v>
      </c>
      <c r="B31" s="2">
        <v>175.22</v>
      </c>
      <c r="C31" s="2">
        <v>8</v>
      </c>
      <c r="D31" s="2">
        <v>4</v>
      </c>
      <c r="E31" s="2">
        <v>2</v>
      </c>
      <c r="F31" s="2">
        <v>2</v>
      </c>
      <c r="G31" s="2">
        <v>8</v>
      </c>
      <c r="H31" s="2">
        <v>4</v>
      </c>
      <c r="I31" s="2">
        <v>2</v>
      </c>
      <c r="J31" s="2">
        <v>2</v>
      </c>
      <c r="K31" s="2">
        <v>8</v>
      </c>
      <c r="L31" s="2">
        <v>4</v>
      </c>
      <c r="M31" s="2">
        <v>2</v>
      </c>
      <c r="N31" s="2">
        <v>2</v>
      </c>
      <c r="O31" s="2">
        <v>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AF52-1E3A-954F-9518-9E8A7926EB85}">
  <dimension ref="A1:F34"/>
  <sheetViews>
    <sheetView topLeftCell="H7" zoomScaleNormal="100" workbookViewId="0">
      <selection activeCell="K21" sqref="K21"/>
    </sheetView>
  </sheetViews>
  <sheetFormatPr baseColWidth="10" defaultRowHeight="16" x14ac:dyDescent="0.2"/>
  <cols>
    <col min="1" max="1" width="32.5" style="2" bestFit="1" customWidth="1"/>
    <col min="2" max="2" width="19.33203125" style="2" bestFit="1" customWidth="1"/>
    <col min="3" max="3" width="14.6640625" style="2" bestFit="1" customWidth="1"/>
    <col min="4" max="4" width="16" style="2" bestFit="1" customWidth="1"/>
    <col min="5" max="5" width="12.5" style="2" bestFit="1" customWidth="1"/>
    <col min="6" max="6" width="12.1640625" style="2" bestFit="1" customWidth="1"/>
    <col min="7" max="16384" width="10.83203125" style="2"/>
  </cols>
  <sheetData>
    <row r="1" spans="1:6" ht="17" thickTop="1" x14ac:dyDescent="0.2">
      <c r="A1" s="14" t="s">
        <v>21</v>
      </c>
      <c r="B1" s="17"/>
      <c r="C1" s="17"/>
      <c r="D1" s="17"/>
      <c r="E1" s="17"/>
      <c r="F1" s="15"/>
    </row>
    <row r="2" spans="1:6" x14ac:dyDescent="0.2">
      <c r="A2" s="9"/>
      <c r="B2" s="19"/>
      <c r="C2" s="19"/>
      <c r="D2" s="19"/>
      <c r="E2" s="19"/>
      <c r="F2" s="10"/>
    </row>
    <row r="3" spans="1:6" x14ac:dyDescent="0.2">
      <c r="A3" s="9" t="s">
        <v>0</v>
      </c>
      <c r="B3" s="19" t="s">
        <v>18</v>
      </c>
      <c r="C3" s="19" t="s">
        <v>22</v>
      </c>
      <c r="D3" s="19" t="s">
        <v>23</v>
      </c>
      <c r="E3" s="19" t="s">
        <v>24</v>
      </c>
      <c r="F3" s="10" t="s">
        <v>25</v>
      </c>
    </row>
    <row r="4" spans="1:6" x14ac:dyDescent="0.2">
      <c r="A4" s="20">
        <f>excel_staffing!A2</f>
        <v>42808</v>
      </c>
      <c r="B4" s="19">
        <f>excel_staffing!B2</f>
        <v>166.38</v>
      </c>
      <c r="C4" s="19">
        <f>excel_staffing!C2</f>
        <v>8</v>
      </c>
      <c r="D4" s="19">
        <f>excel_staffing!E2</f>
        <v>2</v>
      </c>
      <c r="E4" s="19">
        <f>excel_staffing!I2</f>
        <v>2</v>
      </c>
      <c r="F4" s="10">
        <f>excel_staffing!O2</f>
        <v>24</v>
      </c>
    </row>
    <row r="5" spans="1:6" x14ac:dyDescent="0.2">
      <c r="A5" s="20">
        <f>excel_staffing!A3</f>
        <v>42809</v>
      </c>
      <c r="B5" s="19">
        <f>excel_staffing!B3</f>
        <v>167</v>
      </c>
      <c r="C5" s="19">
        <f>excel_staffing!C3</f>
        <v>8</v>
      </c>
      <c r="D5" s="19">
        <f>excel_staffing!E3</f>
        <v>2</v>
      </c>
      <c r="E5" s="19">
        <f>excel_staffing!I3</f>
        <v>2</v>
      </c>
      <c r="F5" s="10">
        <f>excel_staffing!O3</f>
        <v>24</v>
      </c>
    </row>
    <row r="6" spans="1:6" x14ac:dyDescent="0.2">
      <c r="A6" s="20">
        <f>excel_staffing!A4</f>
        <v>42810</v>
      </c>
      <c r="B6" s="19">
        <f>excel_staffing!B4</f>
        <v>167.61</v>
      </c>
      <c r="C6" s="19">
        <f>excel_staffing!C4</f>
        <v>8</v>
      </c>
      <c r="D6" s="19">
        <f>excel_staffing!E4</f>
        <v>2</v>
      </c>
      <c r="E6" s="19">
        <f>excel_staffing!I4</f>
        <v>2</v>
      </c>
      <c r="F6" s="10">
        <f>excel_staffing!O4</f>
        <v>24</v>
      </c>
    </row>
    <row r="7" spans="1:6" x14ac:dyDescent="0.2">
      <c r="A7" s="20">
        <f>excel_staffing!A5</f>
        <v>42811</v>
      </c>
      <c r="B7" s="19">
        <f>excel_staffing!B5</f>
        <v>168.51</v>
      </c>
      <c r="C7" s="19">
        <f>excel_staffing!C5</f>
        <v>8</v>
      </c>
      <c r="D7" s="19">
        <f>excel_staffing!E5</f>
        <v>2</v>
      </c>
      <c r="E7" s="19">
        <f>excel_staffing!I5</f>
        <v>2</v>
      </c>
      <c r="F7" s="10">
        <f>excel_staffing!O5</f>
        <v>24</v>
      </c>
    </row>
    <row r="8" spans="1:6" x14ac:dyDescent="0.2">
      <c r="A8" s="20">
        <f>excel_staffing!A6</f>
        <v>42812</v>
      </c>
      <c r="B8" s="19">
        <f>excel_staffing!B6</f>
        <v>167.93</v>
      </c>
      <c r="C8" s="19">
        <f>excel_staffing!C6</f>
        <v>8</v>
      </c>
      <c r="D8" s="19">
        <f>excel_staffing!E6</f>
        <v>2</v>
      </c>
      <c r="E8" s="19">
        <f>excel_staffing!I6</f>
        <v>2</v>
      </c>
      <c r="F8" s="10">
        <f>excel_staffing!O6</f>
        <v>24</v>
      </c>
    </row>
    <row r="9" spans="1:6" x14ac:dyDescent="0.2">
      <c r="A9" s="20">
        <f>excel_staffing!A7</f>
        <v>42813</v>
      </c>
      <c r="B9" s="19">
        <f>excel_staffing!B7</f>
        <v>167.85</v>
      </c>
      <c r="C9" s="19">
        <f>excel_staffing!C7</f>
        <v>8</v>
      </c>
      <c r="D9" s="19">
        <f>excel_staffing!E7</f>
        <v>2</v>
      </c>
      <c r="E9" s="19">
        <f>excel_staffing!I7</f>
        <v>2</v>
      </c>
      <c r="F9" s="10">
        <f>excel_staffing!O7</f>
        <v>24</v>
      </c>
    </row>
    <row r="10" spans="1:6" x14ac:dyDescent="0.2">
      <c r="A10" s="20">
        <f>excel_staffing!A8</f>
        <v>42814</v>
      </c>
      <c r="B10" s="19">
        <f>excel_staffing!B8</f>
        <v>167.33</v>
      </c>
      <c r="C10" s="19">
        <f>excel_staffing!C8</f>
        <v>8</v>
      </c>
      <c r="D10" s="19">
        <f>excel_staffing!E8</f>
        <v>2</v>
      </c>
      <c r="E10" s="19">
        <f>excel_staffing!I8</f>
        <v>2</v>
      </c>
      <c r="F10" s="10">
        <f>excel_staffing!O8</f>
        <v>24</v>
      </c>
    </row>
    <row r="11" spans="1:6" x14ac:dyDescent="0.2">
      <c r="A11" s="20">
        <f>excel_staffing!A9</f>
        <v>42815</v>
      </c>
      <c r="B11" s="19">
        <f>excel_staffing!B9</f>
        <v>165.23</v>
      </c>
      <c r="C11" s="19">
        <f>excel_staffing!C9</f>
        <v>8</v>
      </c>
      <c r="D11" s="19">
        <f>excel_staffing!E9</f>
        <v>2</v>
      </c>
      <c r="E11" s="19">
        <f>excel_staffing!I9</f>
        <v>2</v>
      </c>
      <c r="F11" s="10">
        <f>excel_staffing!O9</f>
        <v>24</v>
      </c>
    </row>
    <row r="12" spans="1:6" x14ac:dyDescent="0.2">
      <c r="A12" s="20">
        <f>excel_staffing!A10</f>
        <v>42816</v>
      </c>
      <c r="B12" s="19">
        <f>excel_staffing!B10</f>
        <v>166.52</v>
      </c>
      <c r="C12" s="19">
        <f>excel_staffing!C10</f>
        <v>8</v>
      </c>
      <c r="D12" s="19">
        <f>excel_staffing!E10</f>
        <v>2</v>
      </c>
      <c r="E12" s="19">
        <f>excel_staffing!I10</f>
        <v>2</v>
      </c>
      <c r="F12" s="10">
        <f>excel_staffing!O10</f>
        <v>24</v>
      </c>
    </row>
    <row r="13" spans="1:6" x14ac:dyDescent="0.2">
      <c r="A13" s="20">
        <f>excel_staffing!A11</f>
        <v>42817</v>
      </c>
      <c r="B13" s="19">
        <f>excel_staffing!B11</f>
        <v>167.82</v>
      </c>
      <c r="C13" s="19">
        <f>excel_staffing!C11</f>
        <v>8</v>
      </c>
      <c r="D13" s="19">
        <f>excel_staffing!E11</f>
        <v>2</v>
      </c>
      <c r="E13" s="19">
        <f>excel_staffing!I11</f>
        <v>2</v>
      </c>
      <c r="F13" s="10">
        <f>excel_staffing!O11</f>
        <v>24</v>
      </c>
    </row>
    <row r="14" spans="1:6" x14ac:dyDescent="0.2">
      <c r="A14" s="20">
        <f>excel_staffing!A12</f>
        <v>42818</v>
      </c>
      <c r="B14" s="19">
        <f>excel_staffing!B12</f>
        <v>169.43</v>
      </c>
      <c r="C14" s="19">
        <f>excel_staffing!C12</f>
        <v>8</v>
      </c>
      <c r="D14" s="19">
        <f>excel_staffing!E12</f>
        <v>2</v>
      </c>
      <c r="E14" s="19">
        <f>excel_staffing!I12</f>
        <v>2</v>
      </c>
      <c r="F14" s="10">
        <f>excel_staffing!O12</f>
        <v>24</v>
      </c>
    </row>
    <row r="15" spans="1:6" x14ac:dyDescent="0.2">
      <c r="A15" s="20">
        <f>excel_staffing!A13</f>
        <v>42819</v>
      </c>
      <c r="B15" s="19">
        <f>excel_staffing!B13</f>
        <v>169.56</v>
      </c>
      <c r="C15" s="19">
        <f>excel_staffing!C13</f>
        <v>8</v>
      </c>
      <c r="D15" s="19">
        <f>excel_staffing!E13</f>
        <v>2</v>
      </c>
      <c r="E15" s="19">
        <f>excel_staffing!I13</f>
        <v>2</v>
      </c>
      <c r="F15" s="10">
        <f>excel_staffing!O13</f>
        <v>24</v>
      </c>
    </row>
    <row r="16" spans="1:6" x14ac:dyDescent="0.2">
      <c r="A16" s="20">
        <f>excel_staffing!A14</f>
        <v>42820</v>
      </c>
      <c r="B16" s="19">
        <f>excel_staffing!B14</f>
        <v>170.16</v>
      </c>
      <c r="C16" s="19">
        <f>excel_staffing!C14</f>
        <v>8</v>
      </c>
      <c r="D16" s="19">
        <f>excel_staffing!E14</f>
        <v>2</v>
      </c>
      <c r="E16" s="19">
        <f>excel_staffing!I14</f>
        <v>2</v>
      </c>
      <c r="F16" s="10">
        <f>excel_staffing!O14</f>
        <v>24</v>
      </c>
    </row>
    <row r="17" spans="1:6" x14ac:dyDescent="0.2">
      <c r="A17" s="20">
        <f>excel_staffing!A15</f>
        <v>42821</v>
      </c>
      <c r="B17" s="19">
        <f>excel_staffing!B15</f>
        <v>170.29</v>
      </c>
      <c r="C17" s="19">
        <f>excel_staffing!C15</f>
        <v>8</v>
      </c>
      <c r="D17" s="19">
        <f>excel_staffing!E15</f>
        <v>2</v>
      </c>
      <c r="E17" s="19">
        <f>excel_staffing!I15</f>
        <v>2</v>
      </c>
      <c r="F17" s="10">
        <f>excel_staffing!O15</f>
        <v>24</v>
      </c>
    </row>
    <row r="18" spans="1:6" x14ac:dyDescent="0.2">
      <c r="A18" s="20">
        <f>excel_staffing!A16</f>
        <v>42822</v>
      </c>
      <c r="B18" s="19">
        <f>excel_staffing!B16</f>
        <v>168.77</v>
      </c>
      <c r="C18" s="19">
        <f>excel_staffing!C16</f>
        <v>8</v>
      </c>
      <c r="D18" s="19">
        <f>excel_staffing!E16</f>
        <v>2</v>
      </c>
      <c r="E18" s="19">
        <f>excel_staffing!I16</f>
        <v>2</v>
      </c>
      <c r="F18" s="10">
        <f>excel_staffing!O16</f>
        <v>24</v>
      </c>
    </row>
    <row r="19" spans="1:6" x14ac:dyDescent="0.2">
      <c r="A19" s="20">
        <f>excel_staffing!A17</f>
        <v>42823</v>
      </c>
      <c r="B19" s="19">
        <f>excel_staffing!B17</f>
        <v>170.58</v>
      </c>
      <c r="C19" s="19">
        <f>excel_staffing!C17</f>
        <v>8</v>
      </c>
      <c r="D19" s="19">
        <f>excel_staffing!E17</f>
        <v>2</v>
      </c>
      <c r="E19" s="19">
        <f>excel_staffing!I17</f>
        <v>2</v>
      </c>
      <c r="F19" s="10">
        <f>excel_staffing!O17</f>
        <v>24</v>
      </c>
    </row>
    <row r="20" spans="1:6" x14ac:dyDescent="0.2">
      <c r="A20" s="20">
        <f>excel_staffing!A18</f>
        <v>42824</v>
      </c>
      <c r="B20" s="19">
        <f>excel_staffing!B18</f>
        <v>172.31</v>
      </c>
      <c r="C20" s="19">
        <f>excel_staffing!C18</f>
        <v>8</v>
      </c>
      <c r="D20" s="19">
        <f>excel_staffing!E18</f>
        <v>2</v>
      </c>
      <c r="E20" s="19">
        <f>excel_staffing!I18</f>
        <v>2</v>
      </c>
      <c r="F20" s="10">
        <f>excel_staffing!O18</f>
        <v>24</v>
      </c>
    </row>
    <row r="21" spans="1:6" x14ac:dyDescent="0.2">
      <c r="A21" s="20">
        <f>excel_staffing!A19</f>
        <v>42825</v>
      </c>
      <c r="B21" s="19">
        <f>excel_staffing!B19</f>
        <v>174.25</v>
      </c>
      <c r="C21" s="19">
        <f>excel_staffing!C19</f>
        <v>8</v>
      </c>
      <c r="D21" s="19">
        <f>excel_staffing!E19</f>
        <v>2</v>
      </c>
      <c r="E21" s="19">
        <f>excel_staffing!I19</f>
        <v>2</v>
      </c>
      <c r="F21" s="10">
        <f>excel_staffing!O19</f>
        <v>24</v>
      </c>
    </row>
    <row r="22" spans="1:6" x14ac:dyDescent="0.2">
      <c r="A22" s="20">
        <f>excel_staffing!A20</f>
        <v>42826</v>
      </c>
      <c r="B22" s="19">
        <f>excel_staffing!B20</f>
        <v>174.59</v>
      </c>
      <c r="C22" s="19">
        <f>excel_staffing!C20</f>
        <v>8</v>
      </c>
      <c r="D22" s="19">
        <f>excel_staffing!E20</f>
        <v>2</v>
      </c>
      <c r="E22" s="19">
        <f>excel_staffing!I20</f>
        <v>2</v>
      </c>
      <c r="F22" s="10">
        <f>excel_staffing!O20</f>
        <v>24</v>
      </c>
    </row>
    <row r="23" spans="1:6" x14ac:dyDescent="0.2">
      <c r="A23" s="20">
        <f>excel_staffing!A21</f>
        <v>42827</v>
      </c>
      <c r="B23" s="19">
        <f>excel_staffing!B21</f>
        <v>175.29</v>
      </c>
      <c r="C23" s="19">
        <f>excel_staffing!C21</f>
        <v>8</v>
      </c>
      <c r="D23" s="19">
        <f>excel_staffing!E21</f>
        <v>2</v>
      </c>
      <c r="E23" s="19">
        <f>excel_staffing!I21</f>
        <v>2</v>
      </c>
      <c r="F23" s="10">
        <f>excel_staffing!O21</f>
        <v>24</v>
      </c>
    </row>
    <row r="24" spans="1:6" x14ac:dyDescent="0.2">
      <c r="A24" s="20">
        <f>excel_staffing!A22</f>
        <v>42828</v>
      </c>
      <c r="B24" s="19">
        <f>excel_staffing!B22</f>
        <v>175.39</v>
      </c>
      <c r="C24" s="19">
        <f>excel_staffing!C22</f>
        <v>8</v>
      </c>
      <c r="D24" s="19">
        <f>excel_staffing!E22</f>
        <v>2</v>
      </c>
      <c r="E24" s="19">
        <f>excel_staffing!I22</f>
        <v>2</v>
      </c>
      <c r="F24" s="10">
        <f>excel_staffing!O22</f>
        <v>24</v>
      </c>
    </row>
    <row r="25" spans="1:6" x14ac:dyDescent="0.2">
      <c r="A25" s="20">
        <f>excel_staffing!A23</f>
        <v>42829</v>
      </c>
      <c r="B25" s="19">
        <f>excel_staffing!B23</f>
        <v>173.72</v>
      </c>
      <c r="C25" s="19">
        <f>excel_staffing!C23</f>
        <v>8</v>
      </c>
      <c r="D25" s="19">
        <f>excel_staffing!E23</f>
        <v>2</v>
      </c>
      <c r="E25" s="19">
        <f>excel_staffing!I23</f>
        <v>2</v>
      </c>
      <c r="F25" s="10">
        <f>excel_staffing!O23</f>
        <v>24</v>
      </c>
    </row>
    <row r="26" spans="1:6" x14ac:dyDescent="0.2">
      <c r="A26" s="20">
        <f>excel_staffing!A24</f>
        <v>42830</v>
      </c>
      <c r="B26" s="19">
        <f>excel_staffing!B24</f>
        <v>175.25</v>
      </c>
      <c r="C26" s="19">
        <f>excel_staffing!C24</f>
        <v>8</v>
      </c>
      <c r="D26" s="19">
        <f>excel_staffing!E24</f>
        <v>2</v>
      </c>
      <c r="E26" s="19">
        <f>excel_staffing!I24</f>
        <v>2</v>
      </c>
      <c r="F26" s="10">
        <f>excel_staffing!O24</f>
        <v>24</v>
      </c>
    </row>
    <row r="27" spans="1:6" x14ac:dyDescent="0.2">
      <c r="A27" s="20">
        <f>excel_staffing!A25</f>
        <v>42831</v>
      </c>
      <c r="B27" s="19">
        <f>excel_staffing!B25</f>
        <v>176.58</v>
      </c>
      <c r="C27" s="19">
        <f>excel_staffing!C25</f>
        <v>8</v>
      </c>
      <c r="D27" s="19">
        <f>excel_staffing!E25</f>
        <v>2</v>
      </c>
      <c r="E27" s="19">
        <f>excel_staffing!I25</f>
        <v>2</v>
      </c>
      <c r="F27" s="10">
        <f>excel_staffing!O25</f>
        <v>24</v>
      </c>
    </row>
    <row r="28" spans="1:6" x14ac:dyDescent="0.2">
      <c r="A28" s="20">
        <f>excel_staffing!A26</f>
        <v>42832</v>
      </c>
      <c r="B28" s="19">
        <f>excel_staffing!B26</f>
        <v>178.01</v>
      </c>
      <c r="C28" s="19">
        <f>excel_staffing!C26</f>
        <v>8</v>
      </c>
      <c r="D28" s="19">
        <f>excel_staffing!E26</f>
        <v>2</v>
      </c>
      <c r="E28" s="19">
        <f>excel_staffing!I26</f>
        <v>2</v>
      </c>
      <c r="F28" s="10">
        <f>excel_staffing!O26</f>
        <v>24</v>
      </c>
    </row>
    <row r="29" spans="1:6" x14ac:dyDescent="0.2">
      <c r="A29" s="20">
        <f>excel_staffing!A27</f>
        <v>42833</v>
      </c>
      <c r="B29" s="19">
        <f>excel_staffing!B27</f>
        <v>177.74</v>
      </c>
      <c r="C29" s="19">
        <f>excel_staffing!C27</f>
        <v>8</v>
      </c>
      <c r="D29" s="19">
        <f>excel_staffing!E27</f>
        <v>2</v>
      </c>
      <c r="E29" s="19">
        <f>excel_staffing!I27</f>
        <v>2</v>
      </c>
      <c r="F29" s="10">
        <f>excel_staffing!O27</f>
        <v>24</v>
      </c>
    </row>
    <row r="30" spans="1:6" x14ac:dyDescent="0.2">
      <c r="A30" s="20">
        <f>excel_staffing!A28</f>
        <v>42834</v>
      </c>
      <c r="B30" s="19">
        <f>excel_staffing!B28</f>
        <v>177.74</v>
      </c>
      <c r="C30" s="19">
        <f>excel_staffing!C28</f>
        <v>8</v>
      </c>
      <c r="D30" s="19">
        <f>excel_staffing!E28</f>
        <v>2</v>
      </c>
      <c r="E30" s="19">
        <f>excel_staffing!I28</f>
        <v>2</v>
      </c>
      <c r="F30" s="10">
        <f>excel_staffing!O28</f>
        <v>24</v>
      </c>
    </row>
    <row r="31" spans="1:6" x14ac:dyDescent="0.2">
      <c r="A31" s="20">
        <f>excel_staffing!A29</f>
        <v>42835</v>
      </c>
      <c r="B31" s="19">
        <f>excel_staffing!B29</f>
        <v>177.06</v>
      </c>
      <c r="C31" s="19">
        <f>excel_staffing!C29</f>
        <v>8</v>
      </c>
      <c r="D31" s="19">
        <f>excel_staffing!E29</f>
        <v>2</v>
      </c>
      <c r="E31" s="19">
        <f>excel_staffing!I29</f>
        <v>2</v>
      </c>
      <c r="F31" s="10">
        <f>excel_staffing!O29</f>
        <v>24</v>
      </c>
    </row>
    <row r="32" spans="1:6" x14ac:dyDescent="0.2">
      <c r="A32" s="20">
        <f>excel_staffing!A30</f>
        <v>42836</v>
      </c>
      <c r="B32" s="19">
        <f>excel_staffing!B30</f>
        <v>174.56</v>
      </c>
      <c r="C32" s="19">
        <f>excel_staffing!C30</f>
        <v>8</v>
      </c>
      <c r="D32" s="19">
        <f>excel_staffing!E30</f>
        <v>2</v>
      </c>
      <c r="E32" s="19">
        <f>excel_staffing!I30</f>
        <v>2</v>
      </c>
      <c r="F32" s="10">
        <f>excel_staffing!O30</f>
        <v>24</v>
      </c>
    </row>
    <row r="33" spans="1:6" ht="17" thickBot="1" x14ac:dyDescent="0.25">
      <c r="A33" s="21">
        <f>excel_staffing!A31</f>
        <v>42837</v>
      </c>
      <c r="B33" s="12">
        <f>excel_staffing!B31</f>
        <v>175.22</v>
      </c>
      <c r="C33" s="12">
        <f>excel_staffing!C31</f>
        <v>8</v>
      </c>
      <c r="D33" s="12">
        <f>excel_staffing!E31</f>
        <v>2</v>
      </c>
      <c r="E33" s="12">
        <f>excel_staffing!I31</f>
        <v>2</v>
      </c>
      <c r="F33" s="13">
        <f>excel_staffing!O31</f>
        <v>24</v>
      </c>
    </row>
    <row r="34" spans="1:6" ht="17" thickTop="1" x14ac:dyDescent="0.2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20B7D-269A-DD4D-BF00-60958F4A6F31}">
  <dimension ref="A1:D22"/>
  <sheetViews>
    <sheetView workbookViewId="0">
      <selection activeCell="B36" sqref="B36"/>
    </sheetView>
  </sheetViews>
  <sheetFormatPr baseColWidth="10" defaultRowHeight="16" x14ac:dyDescent="0.2"/>
  <cols>
    <col min="1" max="1" width="46.33203125" style="2" bestFit="1" customWidth="1"/>
    <col min="2" max="2" width="45.1640625" style="2" bestFit="1" customWidth="1"/>
    <col min="3" max="3" width="19.5" style="2" bestFit="1" customWidth="1"/>
    <col min="4" max="4" width="12.33203125" style="2" bestFit="1" customWidth="1"/>
    <col min="5" max="16384" width="10.83203125" style="2"/>
  </cols>
  <sheetData>
    <row r="1" spans="1:4" x14ac:dyDescent="0.2">
      <c r="A1" s="2" t="s">
        <v>26</v>
      </c>
    </row>
    <row r="3" spans="1:4" x14ac:dyDescent="0.2">
      <c r="A3" s="2" t="s">
        <v>27</v>
      </c>
    </row>
    <row r="4" spans="1:4" x14ac:dyDescent="0.2">
      <c r="A4" s="2" t="s">
        <v>28</v>
      </c>
      <c r="B4" s="2" t="s">
        <v>29</v>
      </c>
      <c r="C4" s="2" t="s">
        <v>30</v>
      </c>
      <c r="D4" s="2" t="s">
        <v>31</v>
      </c>
    </row>
    <row r="5" spans="1:4" x14ac:dyDescent="0.2">
      <c r="A5" s="2" t="s">
        <v>32</v>
      </c>
      <c r="B5" s="2">
        <v>806.3</v>
      </c>
      <c r="C5" s="2" t="s">
        <v>33</v>
      </c>
      <c r="D5" s="2" t="s">
        <v>34</v>
      </c>
    </row>
    <row r="6" spans="1:4" x14ac:dyDescent="0.2">
      <c r="A6" s="2" t="s">
        <v>35</v>
      </c>
      <c r="B6" s="2">
        <v>617.79999999999995</v>
      </c>
      <c r="C6" s="2">
        <v>-188.5</v>
      </c>
      <c r="D6" s="2" t="s">
        <v>36</v>
      </c>
    </row>
    <row r="7" spans="1:4" x14ac:dyDescent="0.2">
      <c r="A7" s="2" t="s">
        <v>37</v>
      </c>
      <c r="B7" s="2">
        <v>427.6</v>
      </c>
      <c r="C7" s="2">
        <v>-378.7</v>
      </c>
      <c r="D7" s="2" t="s">
        <v>36</v>
      </c>
    </row>
    <row r="8" spans="1:4" x14ac:dyDescent="0.2">
      <c r="A8" s="2" t="s">
        <v>38</v>
      </c>
      <c r="B8" s="2">
        <v>617.20000000000005</v>
      </c>
      <c r="C8" s="2" t="s">
        <v>39</v>
      </c>
    </row>
    <row r="10" spans="1:4" x14ac:dyDescent="0.2">
      <c r="A10" s="2" t="s">
        <v>40</v>
      </c>
      <c r="B10" s="2">
        <v>89.93</v>
      </c>
    </row>
    <row r="11" spans="1:4" x14ac:dyDescent="0.2">
      <c r="A11" s="2" t="s">
        <v>41</v>
      </c>
      <c r="B11" s="2" t="s">
        <v>42</v>
      </c>
    </row>
    <row r="12" spans="1:4" x14ac:dyDescent="0.2">
      <c r="A12" s="2" t="s">
        <v>43</v>
      </c>
      <c r="B12" s="2">
        <v>0.48899999999999999</v>
      </c>
    </row>
    <row r="13" spans="1:4" x14ac:dyDescent="0.2">
      <c r="A13" s="2" t="s">
        <v>44</v>
      </c>
      <c r="B13" s="2" t="s">
        <v>45</v>
      </c>
    </row>
    <row r="15" spans="1:4" x14ac:dyDescent="0.2">
      <c r="A15" s="2" t="s">
        <v>46</v>
      </c>
    </row>
    <row r="16" spans="1:4" x14ac:dyDescent="0.2">
      <c r="A16" s="2" t="s">
        <v>47</v>
      </c>
      <c r="B16" s="2" t="s">
        <v>48</v>
      </c>
      <c r="C16" s="2" t="s">
        <v>41</v>
      </c>
      <c r="D16" s="2" t="s">
        <v>31</v>
      </c>
    </row>
    <row r="17" spans="1:4" x14ac:dyDescent="0.2">
      <c r="A17" s="2" t="s">
        <v>49</v>
      </c>
      <c r="B17" s="2">
        <v>2285.6999999999998</v>
      </c>
      <c r="C17" s="2" t="s">
        <v>50</v>
      </c>
      <c r="D17" s="2" t="s">
        <v>51</v>
      </c>
    </row>
    <row r="18" spans="1:4" x14ac:dyDescent="0.2">
      <c r="A18" s="2" t="s">
        <v>52</v>
      </c>
      <c r="B18" s="2">
        <v>-167.4</v>
      </c>
      <c r="C18" s="2">
        <v>0.43940000000000001</v>
      </c>
      <c r="D18" s="2" t="s">
        <v>53</v>
      </c>
    </row>
    <row r="19" spans="1:4" x14ac:dyDescent="0.2">
      <c r="A19" s="2" t="s">
        <v>54</v>
      </c>
      <c r="B19" s="2">
        <v>1744.3</v>
      </c>
      <c r="C19" s="2">
        <v>7.6100000000000001E-2</v>
      </c>
      <c r="D19" s="2" t="s">
        <v>55</v>
      </c>
    </row>
    <row r="20" spans="1:4" x14ac:dyDescent="0.2">
      <c r="A20" s="2" t="s">
        <v>56</v>
      </c>
      <c r="B20" s="2">
        <v>0.67989999999999995</v>
      </c>
    </row>
    <row r="21" spans="1:4" x14ac:dyDescent="0.2">
      <c r="A21" s="2" t="s">
        <v>57</v>
      </c>
      <c r="B21" s="2">
        <v>0.6724</v>
      </c>
    </row>
    <row r="22" spans="1:4" x14ac:dyDescent="0.2">
      <c r="A22" s="2" t="s">
        <v>58</v>
      </c>
      <c r="B22" s="2" t="s">
        <v>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78DCA-88C7-1C46-AA32-5C5037958F51}">
  <dimension ref="A1:F16"/>
  <sheetViews>
    <sheetView tabSelected="1" workbookViewId="0">
      <selection activeCell="E32" sqref="E32"/>
    </sheetView>
  </sheetViews>
  <sheetFormatPr baseColWidth="10" defaultRowHeight="16" x14ac:dyDescent="0.2"/>
  <cols>
    <col min="1" max="1" width="47.6640625" style="2" bestFit="1" customWidth="1"/>
    <col min="2" max="2" width="11" style="2" bestFit="1" customWidth="1"/>
    <col min="3" max="3" width="19.1640625" style="2" bestFit="1" customWidth="1"/>
    <col min="4" max="4" width="19.33203125" style="2" bestFit="1" customWidth="1"/>
    <col min="5" max="5" width="10.6640625" style="2" bestFit="1" customWidth="1"/>
    <col min="6" max="6" width="13" style="2" bestFit="1" customWidth="1"/>
    <col min="7" max="16384" width="10.83203125" style="2"/>
  </cols>
  <sheetData>
    <row r="1" spans="1:6" ht="18" x14ac:dyDescent="0.2">
      <c r="A1" s="18" t="s">
        <v>115</v>
      </c>
    </row>
    <row r="2" spans="1:6" ht="17" thickBot="1" x14ac:dyDescent="0.25"/>
    <row r="3" spans="1:6" ht="17" thickTop="1" x14ac:dyDescent="0.2">
      <c r="A3" s="14" t="s">
        <v>116</v>
      </c>
      <c r="B3" s="17" t="s">
        <v>117</v>
      </c>
      <c r="C3" s="17" t="s">
        <v>118</v>
      </c>
      <c r="D3" s="17" t="s">
        <v>119</v>
      </c>
      <c r="E3" s="17" t="s">
        <v>120</v>
      </c>
      <c r="F3" s="15" t="s">
        <v>121</v>
      </c>
    </row>
    <row r="4" spans="1:6" x14ac:dyDescent="0.2">
      <c r="A4" s="9" t="s">
        <v>122</v>
      </c>
      <c r="B4" s="2">
        <v>2840</v>
      </c>
      <c r="C4" s="2">
        <v>32.1</v>
      </c>
      <c r="D4" s="2">
        <v>90</v>
      </c>
      <c r="E4" s="2" t="s">
        <v>123</v>
      </c>
      <c r="F4" s="10" t="s">
        <v>124</v>
      </c>
    </row>
    <row r="5" spans="1:6" x14ac:dyDescent="0.2">
      <c r="A5" s="9" t="s">
        <v>125</v>
      </c>
      <c r="B5" s="2">
        <v>1335</v>
      </c>
      <c r="C5" s="2">
        <v>31.9</v>
      </c>
      <c r="D5" s="2">
        <v>90</v>
      </c>
      <c r="E5" s="2" t="s">
        <v>126</v>
      </c>
      <c r="F5" s="10" t="s">
        <v>127</v>
      </c>
    </row>
    <row r="6" spans="1:6" x14ac:dyDescent="0.2">
      <c r="A6" s="9" t="s">
        <v>128</v>
      </c>
      <c r="B6" s="2">
        <v>1718</v>
      </c>
      <c r="C6" s="2">
        <v>31.7</v>
      </c>
      <c r="D6" s="2">
        <v>90</v>
      </c>
      <c r="E6" s="2" t="s">
        <v>129</v>
      </c>
      <c r="F6" s="10" t="s">
        <v>127</v>
      </c>
    </row>
    <row r="7" spans="1:6" x14ac:dyDescent="0.2">
      <c r="A7" s="9" t="s">
        <v>130</v>
      </c>
      <c r="B7" s="2">
        <v>19142</v>
      </c>
      <c r="C7" s="2">
        <v>31.5</v>
      </c>
      <c r="D7" s="2">
        <v>90</v>
      </c>
      <c r="E7" s="2" t="s">
        <v>129</v>
      </c>
      <c r="F7" s="10" t="s">
        <v>131</v>
      </c>
    </row>
    <row r="8" spans="1:6" x14ac:dyDescent="0.2">
      <c r="A8" s="9" t="s">
        <v>132</v>
      </c>
      <c r="B8" s="2">
        <v>423</v>
      </c>
      <c r="C8" s="2">
        <v>32.6</v>
      </c>
      <c r="D8" s="2">
        <v>90</v>
      </c>
      <c r="E8" s="2" t="s">
        <v>133</v>
      </c>
      <c r="F8" s="10" t="s">
        <v>127</v>
      </c>
    </row>
    <row r="9" spans="1:6" x14ac:dyDescent="0.2">
      <c r="A9" s="9" t="s">
        <v>134</v>
      </c>
      <c r="B9" s="2">
        <v>2825</v>
      </c>
      <c r="C9" s="2">
        <v>32.1</v>
      </c>
      <c r="D9" s="2">
        <v>90</v>
      </c>
      <c r="E9" s="2" t="s">
        <v>123</v>
      </c>
      <c r="F9" s="10" t="s">
        <v>124</v>
      </c>
    </row>
    <row r="10" spans="1:6" x14ac:dyDescent="0.2">
      <c r="A10" s="9" t="s">
        <v>135</v>
      </c>
      <c r="B10" s="2">
        <v>37162</v>
      </c>
      <c r="C10" s="2">
        <v>31.4</v>
      </c>
      <c r="D10" s="2">
        <v>90</v>
      </c>
      <c r="E10" s="2" t="s">
        <v>136</v>
      </c>
      <c r="F10" s="10" t="s">
        <v>131</v>
      </c>
    </row>
    <row r="11" spans="1:6" x14ac:dyDescent="0.2">
      <c r="A11" s="9" t="s">
        <v>137</v>
      </c>
      <c r="B11" s="2">
        <v>35562</v>
      </c>
      <c r="C11" s="2">
        <v>31.6</v>
      </c>
      <c r="D11" s="2">
        <v>90</v>
      </c>
      <c r="E11" s="2" t="s">
        <v>126</v>
      </c>
      <c r="F11" s="10" t="s">
        <v>131</v>
      </c>
    </row>
    <row r="12" spans="1:6" x14ac:dyDescent="0.2">
      <c r="A12" s="9" t="s">
        <v>138</v>
      </c>
      <c r="B12" s="2">
        <v>12800</v>
      </c>
      <c r="C12" s="2">
        <v>31.9</v>
      </c>
      <c r="D12" s="2">
        <v>90</v>
      </c>
      <c r="E12" s="2" t="s">
        <v>136</v>
      </c>
      <c r="F12" s="10" t="s">
        <v>124</v>
      </c>
    </row>
    <row r="13" spans="1:6" x14ac:dyDescent="0.2">
      <c r="A13" s="9" t="s">
        <v>139</v>
      </c>
      <c r="B13" s="2">
        <v>1119</v>
      </c>
      <c r="C13" s="2">
        <v>32.1</v>
      </c>
      <c r="D13" s="2">
        <v>90</v>
      </c>
      <c r="E13" s="2" t="s">
        <v>123</v>
      </c>
      <c r="F13" s="10" t="s">
        <v>127</v>
      </c>
    </row>
    <row r="14" spans="1:6" x14ac:dyDescent="0.2">
      <c r="A14" s="9" t="s">
        <v>140</v>
      </c>
      <c r="B14" s="2">
        <v>33537</v>
      </c>
      <c r="C14" s="2">
        <v>31.3</v>
      </c>
      <c r="D14" s="2">
        <v>90</v>
      </c>
      <c r="E14" s="2" t="s">
        <v>141</v>
      </c>
      <c r="F14" s="10" t="s">
        <v>131</v>
      </c>
    </row>
    <row r="15" spans="1:6" ht="17" thickBot="1" x14ac:dyDescent="0.25">
      <c r="A15" s="11" t="s">
        <v>142</v>
      </c>
      <c r="B15" s="12">
        <v>24302</v>
      </c>
      <c r="C15" s="12">
        <v>31.4</v>
      </c>
      <c r="D15" s="12">
        <v>90</v>
      </c>
      <c r="E15" s="12" t="s">
        <v>136</v>
      </c>
      <c r="F15" s="13" t="s">
        <v>124</v>
      </c>
    </row>
    <row r="16" spans="1:6" ht="17" thickTop="1" x14ac:dyDescent="0.2"/>
  </sheetData>
  <conditionalFormatting sqref="A3:F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97EB47-F9EE-534C-A126-007064B5AE3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excel_forecast</vt:lpstr>
      <vt:lpstr>Demand Forecast</vt:lpstr>
      <vt:lpstr>excel_staffing</vt:lpstr>
      <vt:lpstr>Staffing Plan</vt:lpstr>
      <vt:lpstr>Throughput Analysis</vt:lpstr>
      <vt:lpstr>Risk &amp; Disruptions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Garvit Mittal</dc:creator>
  <cp:lastModifiedBy>Garvit Mittal</cp:lastModifiedBy>
  <dcterms:created xsi:type="dcterms:W3CDTF">2026-04-17T05:47:38Z</dcterms:created>
  <dcterms:modified xsi:type="dcterms:W3CDTF">2026-04-17T08:22:05Z</dcterms:modified>
</cp:coreProperties>
</file>